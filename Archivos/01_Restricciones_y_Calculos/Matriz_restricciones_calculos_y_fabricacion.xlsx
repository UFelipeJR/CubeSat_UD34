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002e82199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ricciones_PCB" sheetId="1" r:id="Re2f4c693091141ea"/>
    <x:sheet xmlns:r="http://schemas.openxmlformats.org/officeDocument/2006/relationships" name="Fabricacion_Referencia" sheetId="2" r:id="R80ea0bd0cdc64f25"/>
    <x:sheet xmlns:r="http://schemas.openxmlformats.org/officeDocument/2006/relationships" name="Calculos" sheetId="3" r:id="Ra848d0ef8a99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65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d8c53cdec45e8" /><Relationship Type="http://schemas.openxmlformats.org/officeDocument/2006/relationships/theme" Target="/xl/theme/theme1.xml" Id="Rf07de093c9ad4d7b" /><Relationship Type="http://schemas.openxmlformats.org/officeDocument/2006/relationships/sharedStrings" Target="/xl/sharedStrings.xml" Id="R33e0dd6d24b846ce" /><Relationship Type="http://schemas.openxmlformats.org/officeDocument/2006/relationships/worksheet" Target="/xl/worksheets/sheet1.xml" Id="Re2f4c693091141ea" /><Relationship Type="http://schemas.openxmlformats.org/officeDocument/2006/relationships/worksheet" Target="/xl/worksheets/sheet2.xml" Id="R80ea0bd0cdc64f25" /><Relationship Type="http://schemas.openxmlformats.org/officeDocument/2006/relationships/worksheet" Target="/xl/worksheets/sheet3.xml" Id="Ra848d0ef8a99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27" hidden="0" customWidth="1"/>
    <x:col min="5" max="5" width="22" hidden="0" customWidth="1"/>
    <x:col min="6" max="6" width="28" hidden="0" customWidth="1"/>
    <x:col min="7" max="7" width="38" hidden="0" customWidth="1"/>
    <x:col min="8" max="8" width="33" hidden="0" customWidth="1"/>
  </x:cols>
  <x:sheetData>
    <x:row r="1" ht="32" customHeight="1">
      <x:c r="A1" s="7" t="str">
        <x:v>ID y origen</x:v>
      </x:c>
      <x:c r="B1" s="7" t="str">
        <x:v>Subsistema / redes</x:v>
      </x:c>
      <x:c r="C1" s="7" t="str">
        <x:v>Restricción</x:v>
      </x:c>
      <x:c r="D1" s="7" t="str">
        <x:v>Criterio</x:v>
      </x:c>
      <x:c r="E1" s="7" t="str">
        <x:v>Clasificación</x:v>
      </x:c>
      <x:c r="F1" s="7" t="str">
        <x:v>Fuente técnica</x:v>
      </x:c>
      <x:c r="G1" s="7" t="str">
        <x:v>Mecanismo de aplicación en PCB</x:v>
      </x:c>
      <x:c r="H1" s="7" t="str">
        <x:v>Método de comprobación</x:v>
      </x:c>
    </x:row>
    <x:row r="2" ht="45" customHeight="1">
      <x:c r="A2" s="12" t="str">
        <x:v>PCB-01 / Carga útil</x:v>
      </x:c>
      <x:c r="B2" s="12" t="str">
        <x:v>CSI_CKP/N, CSI_D0P/N, CSI_D1P/N</x:v>
      </x:c>
      <x:c r="C2" s="12" t="str">
        <x:v>Impedancia diferencial de pares MIPI CSI-2</x:v>
      </x:c>
      <x:c r="D2" s="12" t="str">
        <x:v>100 Ω ±10 %</x:v>
      </x:c>
      <x:c r="E2" s="12" t="str">
        <x:v>Exigencia técnica</x:v>
      </x:c>
      <x:c r="F2" s="12" t="str">
        <x:v>ST AN5967 Rev. 6</x:v>
      </x:c>
      <x:c r="G2" s="12" t="str">
        <x:v>Clase CSI y regla Differential Pairs Routing</x:v>
      </x:c>
      <x:c r="H2" s="12" t="str">
        <x:v>Cálculo de impedancia con apilamiento y DRC</x:v>
      </x:c>
    </x:row>
    <x:row r="3" ht="45" customHeight="1">
      <x:c r="A3" s="12" t="str">
        <x:v>PCB-02 / Carga útil</x:v>
      </x:c>
      <x:c r="B3" s="12" t="str">
        <x:v>Pares CSI-2</x:v>
      </x:c>
      <x:c r="C3" s="12" t="str">
        <x:v>Diferencia máxima de longitud entre P y N</x:v>
      </x:c>
      <x:c r="D3" s="12" t="str">
        <x:v>0,127 mm</x:v>
      </x:c>
      <x:c r="E3" s="12" t="str">
        <x:v>Exigencia técnica</x:v>
      </x:c>
      <x:c r="F3" s="12" t="str">
        <x:v>ST AN5967 Rev. 6</x:v>
      </x:c>
      <x:c r="G3" s="12" t="str">
        <x:v>Matched Length en cada par</x:v>
      </x:c>
      <x:c r="H3" s="12" t="str">
        <x:v>Medición de longitudes y DRC</x:v>
      </x:c>
    </x:row>
    <x:row r="4" ht="45" customHeight="1">
      <x:c r="A4" s="12" t="str">
        <x:v>PCB-03 / Carga útil</x:v>
      </x:c>
      <x:c r="B4" s="12" t="str">
        <x:v>CSI-2 reloj/datos</x:v>
      </x:c>
      <x:c r="C4" s="12" t="str">
        <x:v>Diferencia de longitud entre reloj y datos</x:v>
      </x:c>
      <x:c r="D4" s="12" t="str">
        <x:v>2,54 mm</x:v>
      </x:c>
      <x:c r="E4" s="12" t="str">
        <x:v>Exigencia técnica</x:v>
      </x:c>
      <x:c r="F4" s="12" t="str">
        <x:v>ST AN5967 Rev. 6</x:v>
      </x:c>
      <x:c r="G4" s="12" t="str">
        <x:v>Matched Length de clase CSI</x:v>
      </x:c>
      <x:c r="H4" s="12" t="str">
        <x:v>Medición de longitudes y DRC</x:v>
      </x:c>
    </x:row>
    <x:row r="5" ht="45" customHeight="1">
      <x:c r="A5" s="12" t="str">
        <x:v>PCB-04 / Carga útil</x:v>
      </x:c>
      <x:c r="B5" s="12" t="str">
        <x:v>CSI-2 MCU–J501</x:v>
      </x:c>
      <x:c r="C5" s="12" t="str">
        <x:v>Longitud y cantidad de vías en enlace</x:v>
      </x:c>
      <x:c r="D5" s="12" t="str">
        <x:v>≤203 mm; ≤2 vías por línea</x:v>
      </x:c>
      <x:c r="E5" s="12" t="str">
        <x:v>Exigencia técnica</x:v>
      </x:c>
      <x:c r="F5" s="12" t="str">
        <x:v>ST AN5967 Rev. 6</x:v>
      </x:c>
      <x:c r="G5" s="12" t="str">
        <x:v>Regla Length y control de vías</x:v>
      </x:c>
      <x:c r="H5" s="12" t="str">
        <x:v>DRC, medición e inspección</x:v>
      </x:c>
    </x:row>
    <x:row r="6" ht="45" customHeight="1">
      <x:c r="A6" s="12" t="str">
        <x:v>PCB-05 / Carga útil</x:v>
      </x:c>
      <x:c r="B6" s="12" t="str">
        <x:v>CSI-2</x:v>
      </x:c>
      <x:c r="C6" s="12" t="str">
        <x:v>Plano GND continuo bajo los pares</x:v>
      </x:c>
      <x:c r="D6" s="12" t="str">
        <x:v>Sin cortes del retorno</x:v>
      </x:c>
      <x:c r="E6" s="12" t="str">
        <x:v>Recomendación adoptada</x:v>
      </x:c>
      <x:c r="F6" s="12" t="str">
        <x:v>ST AN5967 Rev. 6</x:v>
      </x:c>
      <x:c r="G6" s="12" t="str">
        <x:v>Nota de diseño y plano de referencia</x:v>
      </x:c>
      <x:c r="H6" s="12" t="str">
        <x:v>Inspección de retorno y cambios de capa</x:v>
      </x:c>
    </x:row>
    <x:row r="7" ht="45" customHeight="1">
      <x:c r="A7" s="12" t="str">
        <x:v>PCB-06 / RF-03</x:v>
      </x:c>
      <x:c r="B7" s="12" t="str">
        <x:v>FMC / SDRAM</x:v>
      </x:c>
      <x:c r="C7" s="12" t="str">
        <x:v>Carga capacitiva del bus a frecuencia nominal alta</x:v>
      </x:c>
      <x:c r="D7" s="12" t="str">
        <x:v>≤20 pF por señal para 166 MHz</x:v>
      </x:c>
      <x:c r="E7" s="12" t="str">
        <x:v>Condición técnica</x:v>
      </x:c>
      <x:c r="F7" s="12" t="str">
        <x:v>STM32N6 DS14791, tablas 87 y 89</x:v>
      </x:c>
      <x:c r="G7" s="12" t="str">
        <x:v>Nota de carga máxima de señal</x:v>
      </x:c>
      <x:c r="H7" s="12" t="str">
        <x:v>Estimación de pista, pines y parásitos</x:v>
      </x:c>
    </x:row>
    <x:row r="8" ht="45" customHeight="1">
      <x:c r="A8" s="12" t="str">
        <x:v>PCB-07 / RF-03</x:v>
      </x:c>
      <x:c r="B8" s="12" t="str">
        <x:v>FMC / SDRAM</x:v>
      </x:c>
      <x:c r="C8" s="12" t="str">
        <x:v>Mantener grupos de datos, control y reloj con longitudes coordinadas</x:v>
      </x:c>
      <x:c r="D8" s="12" t="str">
        <x:v>Igualación relativa a SDCLK</x:v>
      </x:c>
      <x:c r="E8" s="12" t="str">
        <x:v>Recomendación adoptada</x:v>
      </x:c>
      <x:c r="F8" s="12" t="str">
        <x:v>ST AN5967 y hoja IS42S32160F</x:v>
      </x:c>
      <x:c r="G8" s="12" t="str">
        <x:v>Clase SDRAM y reglas Matched Length</x:v>
      </x:c>
      <x:c r="H8" s="12" t="str">
        <x:v>Comparación de longitudes y DRC</x:v>
      </x:c>
    </x:row>
    <x:row r="9" ht="45" customHeight="1">
      <x:c r="A9" s="12" t="str">
        <x:v>PCB-08 / RF-03</x:v>
      </x:c>
      <x:c r="B9" s="12" t="str">
        <x:v>XSPI NOR</x:v>
      </x:c>
      <x:c r="C9" s="12" t="str">
        <x:v>Trayectorias cortas de reloj y señales de datos</x:v>
      </x:c>
      <x:c r="D9" s="12" t="str">
        <x:v>Reloj y datos coordinados</x:v>
      </x:c>
      <x:c r="E9" s="12" t="str">
        <x:v>Recomendación adoptada</x:v>
      </x:c>
      <x:c r="F9" s="12" t="str">
        <x:v>STM32N6 RM0486 y CYRS17B01G</x:v>
      </x:c>
      <x:c r="G9" s="12" t="str">
        <x:v>Clase NOR y restricciones de longitud</x:v>
      </x:c>
      <x:c r="H9" s="12" t="str">
        <x:v>Medición y revisión de retornos</x:v>
      </x:c>
    </x:row>
    <x:row r="10" ht="45" customHeight="1">
      <x:c r="A10" s="12" t="str">
        <x:v>PCB-09 / RF-03</x:v>
      </x:c>
      <x:c r="B10" s="12" t="str">
        <x:v>SDMMC1 / eMMC</x:v>
      </x:c>
      <x:c r="C10" s="12" t="str">
        <x:v>Coordinar longitudes de reloj y datos del bus de ocho bits</x:v>
      </x:c>
      <x:c r="D10" s="12" t="str">
        <x:v>Rutas cortas y coordinadas</x:v>
      </x:c>
      <x:c r="E10" s="12" t="str">
        <x:v>Recomendación adoptada</x:v>
      </x:c>
      <x:c r="F10" s="12" t="str">
        <x:v>STM32N6 RM0486 y hoja MX52LM08A11XVI</x:v>
      </x:c>
      <x:c r="G10" s="12" t="str">
        <x:v>Clase eMMC y restricciones de longitud</x:v>
      </x:c>
      <x:c r="H10" s="12" t="str">
        <x:v>Medición y revisión de integridad</x:v>
      </x:c>
    </x:row>
    <x:row r="11" ht="45" customHeight="1">
      <x:c r="A11" s="12" t="str">
        <x:v>PCB-10 / IF-01</x:v>
      </x:c>
      <x:c r="B11" s="12" t="str">
        <x:v>3V3_OBC</x:v>
      </x:c>
      <x:c r="C11" s="12" t="str">
        <x:v>Caída de tensión en distribución de alimentación</x:v>
      </x:c>
      <x:c r="D11" s="12" t="str">
        <x:v>≤1 % de 3,3 V (0,033 V)</x:v>
      </x:c>
      <x:c r="E11" s="12" t="str">
        <x:v>Criterio adoptado</x:v>
      </x:c>
      <x:c r="F11" s="12" t="str">
        <x:v>Cálculo resistivo, hoja Calculos</x:v>
      </x:c>
      <x:c r="G11" s="12" t="str">
        <x:v>Clase de potencia y Width</x:v>
      </x:c>
      <x:c r="H11" s="12" t="str">
        <x:v>Estimación de caída de tensión</x:v>
      </x:c>
    </x:row>
    <x:row r="12" ht="45" customHeight="1">
      <x:c r="A12" s="12" t="str">
        <x:v>PCB-11 / IF-01</x:v>
      </x:c>
      <x:c r="B12" s="12" t="str">
        <x:v>3V3_OBC</x:v>
      </x:c>
      <x:c r="C12" s="12" t="str">
        <x:v>Sección de cobre para límite de 1 A</x:v>
      </x:c>
      <x:c r="D12" s="12" t="str">
        <x:v>Ancho objetivo calculado en hoja Calculos</x:v>
      </x:c>
      <x:c r="E12" s="12" t="str">
        <x:v>Criterio adoptado</x:v>
      </x:c>
      <x:c r="F12" s="12" t="str">
        <x:v>Cálculo resistivo, cobre 35 µm</x:v>
      </x:c>
      <x:c r="G12" s="12" t="str">
        <x:v>Regla Width</x:v>
      </x:c>
      <x:c r="H12" s="12" t="str">
        <x:v>Comparar ancho, temperatura y caída</x:v>
      </x:c>
    </x:row>
    <x:row r="13" ht="45" customHeight="1">
      <x:c r="A13" s="12" t="str">
        <x:v>PCB-12 / Alimentación</x:v>
      </x:c>
      <x:c r="B13" s="12" t="str">
        <x:v>MCU SMPS / inductores / capacitores</x:v>
      </x:c>
      <x:c r="C13" s="12" t="str">
        <x:v>Reducir área de lazo en conversión conmutada</x:v>
      </x:c>
      <x:c r="D13" s="12" t="str">
        <x:v>Lazo de corriente mínimo</x:v>
      </x:c>
      <x:c r="E13" s="12" t="str">
        <x:v>Exigencia/recomendación</x:v>
      </x:c>
      <x:c r="F13" s="12" t="str">
        <x:v>ST AN5967 Rev. 6</x:v>
      </x:c>
      <x:c r="G13" s="12" t="str">
        <x:v>Nota de colocación de potencia</x:v>
      </x:c>
      <x:c r="H13" s="12" t="str">
        <x:v>Inspección de disposición y planos</x:v>
      </x:c>
    </x:row>
    <x:row r="14" ht="45" customHeight="1">
      <x:c r="A14" s="12" t="str">
        <x:v>PCB-13 / Alimentación</x:v>
      </x:c>
      <x:c r="B14" s="12" t="str">
        <x:v>Todos los pines de alimentación BGA</x:v>
      </x:c>
      <x:c r="C14" s="12" t="str">
        <x:v>Desacoplos cercanos y retornos a GND</x:v>
      </x:c>
      <x:c r="D14" s="12" t="str">
        <x:v>Ubicación junto a pines</x:v>
      </x:c>
      <x:c r="E14" s="12" t="str">
        <x:v>Exigencia/recomendación</x:v>
      </x:c>
      <x:c r="F14" s="12" t="str">
        <x:v>ST AN5967 Rev. 6</x:v>
      </x:c>
      <x:c r="G14" s="12" t="str">
        <x:v>Nota de colocación y planos</x:v>
      </x:c>
      <x:c r="H14" s="12" t="str">
        <x:v>Inspección de placement</x:v>
      </x:c>
    </x:row>
    <x:row r="15" ht="45" customHeight="1">
      <x:c r="A15" s="12" t="str">
        <x:v>PCB-14 / Reloj</x:v>
      </x:c>
      <x:c r="B15" s="12" t="str">
        <x:v>HSE y LSE</x:v>
      </x:c>
      <x:c r="C15" s="12" t="str">
        <x:v>Cristales cerca del microcontrolador</x:v>
      </x:c>
      <x:c r="D15" s="12" t="str">
        <x:v>Pistas cortas y entorno a GND</x:v>
      </x:c>
      <x:c r="E15" s="12" t="str">
        <x:v>Recomendación adoptada</x:v>
      </x:c>
      <x:c r="F15" s="12" t="str">
        <x:v>ST AN5967 Rev. 6</x:v>
      </x:c>
      <x:c r="G15" s="12" t="str">
        <x:v>Nota de colocación y separación</x:v>
      </x:c>
      <x:c r="H15" s="12" t="str">
        <x:v>Inspección de zona de osciladores</x:v>
      </x:c>
    </x:row>
    <x:row r="16" ht="45" customHeight="1">
      <x:c r="A16" s="12" t="str">
        <x:v>PCB-15 / Cámara</x:v>
      </x:c>
      <x:c r="B16" s="12" t="str">
        <x:v>CSI_REXT</x:v>
      </x:c>
      <x:c r="C16" s="12" t="str">
        <x:v>Resistor de referencia y retorno próximo</x:v>
      </x:c>
      <x:c r="D16" s="12" t="str">
        <x:v>200 Ω, tolerancia 1 %</x:v>
      </x:c>
      <x:c r="E16" s="12" t="str">
        <x:v>Exigencia técnica</x:v>
      </x:c>
      <x:c r="F16" s="12" t="str">
        <x:v>STM32N6 DS14791 / AN5967</x:v>
      </x:c>
      <x:c r="G16" s="12" t="str">
        <x:v>Nota de colocación</x:v>
      </x:c>
      <x:c r="H16" s="12" t="str">
        <x:v>Verificación de BOM y esquema</x:v>
      </x:c>
    </x:row>
    <x:row r="17" ht="45" customHeight="1">
      <x:c r="A17" s="12" t="str">
        <x:v>PCB-16 / IF-04</x:v>
      </x:c>
      <x:c r="B17" s="12" t="str">
        <x:v>CAN_A_H/L y CAN_B_H/L</x:v>
      </x:c>
      <x:c r="C17" s="12" t="str">
        <x:v>Terminación dividida del bus CAN cuando la placa sea extremo de bus</x:v>
      </x:c>
      <x:c r="D17" s="12" t="str">
        <x:v>2 × 60,4 Ω en serie (~120,8 Ω)</x:v>
      </x:c>
      <x:c r="E17" s="12" t="str">
        <x:v>Configuración de esquema</x:v>
      </x:c>
      <x:c r="F17" s="12" t="str">
        <x:v>Hoja de datos TCAN334; diseño de canales CAN</x:v>
      </x:c>
      <x:c r="G17" s="12" t="str">
        <x:v>Nota de condición de montaje</x:v>
      </x:c>
      <x:c r="H17" s="12" t="str">
        <x:v>Revisión de topología y nodos extremos</x:v>
      </x:c>
    </x:row>
    <x:row r="18" ht="45" customHeight="1">
      <x:c r="A18" s="12" t="str">
        <x:v>PCB-17 / ADCS</x:v>
      </x:c>
      <x:c r="B18" s="12" t="str">
        <x:v>Circuitos ADC y 1V8 analógico</x:v>
      </x:c>
      <x:c r="C18" s="12" t="str">
        <x:v>Separar retornos sensibles de conmutación de potencia</x:v>
      </x:c>
      <x:c r="D18" s="12" t="str">
        <x:v>Retornos próximos y desacoplo local</x:v>
      </x:c>
      <x:c r="E18" s="12" t="str">
        <x:v>Recomendación adoptada</x:v>
      </x:c>
      <x:c r="F18" s="12" t="str">
        <x:v>ST AN5967 Rev. 6</x:v>
      </x:c>
      <x:c r="G18" s="12" t="str">
        <x:v>Reglas de ubicación y referencia GND</x:v>
      </x:c>
      <x:c r="H18" s="12" t="str">
        <x:v>Inspección de la disposición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9" hidden="0" customWidth="1"/>
    <x:col min="3" max="3" width="23" hidden="0" customWidth="1"/>
    <x:col min="4" max="4" width="11" hidden="0" customWidth="1"/>
    <x:col min="5" max="5" width="49" hidden="0" customWidth="1"/>
    <x:col min="6" max="6" width="35" hidden="0" customWidth="1"/>
  </x:cols>
  <x:sheetData>
    <x:row r="1" ht="32" customHeight="1">
      <x:c r="A1" s="7" t="str">
        <x:v>Característica</x:v>
      </x:c>
      <x:c r="B1" s="7" t="str">
        <x:v>Referencia técnica o servicio</x:v>
      </x:c>
      <x:c r="C1" s="7" t="str">
        <x:v>Valor / capacidad</x:v>
      </x:c>
      <x:c r="D1" s="7" t="str">
        <x:v>Unidad</x:v>
      </x:c>
      <x:c r="E1" s="7" t="str">
        <x:v>Fuente (URL)</x:v>
      </x:c>
      <x:c r="F1" s="7" t="str">
        <x:v>Uso en el diseño</x:v>
      </x:c>
    </x:row>
    <x:row r="2" ht="45" customHeight="1">
      <x:c r="A2" s="12" t="str">
        <x:v>Proveedor de referencia</x:v>
      </x:c>
      <x:c r="B2" s="12" t="str">
        <x:v>JLCPCB</x:v>
      </x:c>
      <x:c r="C2" s="12" t="str">
        <x:v>PCB multicapa</x:v>
      </x:c>
      <x:c r="D2" s="12" t="str"/>
      <x:c r="E2" s="12" t="str">
        <x:v>https://jlcpcb.com/capabilities/pcb-capabilities/</x:v>
      </x:c>
      <x:c r="F2" s="12" t="str">
        <x:v>Servicio de fabricación de referencia</x:v>
      </x:c>
    </x:row>
    <x:row r="3" ht="45" customHeight="1">
      <x:c r="A3" s="12" t="str">
        <x:v>Fecha de consulta</x:v>
      </x:c>
      <x:c r="B3" s="12" t="str">
        <x:v>Ficha 6 capas</x:v>
      </x:c>
      <x:c r="C3" s="12" t="str">
        <x:v>26-10-2026</x:v>
      </x:c>
      <x:c r="D3" s="12" t="str"/>
      <x:c r="E3" s="12" t="str">
        <x:v>https://jlcpcb.com/resources/6-layer-pcbs</x:v>
      </x:c>
      <x:c r="F3" s="12" t="str">
        <x:v>Referencia documental</x:v>
      </x:c>
    </x:row>
    <x:row r="4" ht="45" customHeight="1">
      <x:c r="A4" s="12" t="str">
        <x:v>Número de capas</x:v>
      </x:c>
      <x:c r="B4" s="12" t="str">
        <x:v>Configuración de diseño</x:v>
      </x:c>
      <x:c r="C4" s="12" t="str">
        <x:v>6</x:v>
      </x:c>
      <x:c r="D4" s="12" t="str">
        <x:v>capas</x:v>
      </x:c>
      <x:c r="E4" s="12" t="str">
        <x:v>https://jlcpcb.com/resources/6-layer-pcbs</x:v>
      </x:c>
      <x:c r="F4" s="12" t="str">
        <x:v>Propuesta para planos de retorno y ruteo</x:v>
      </x:c>
    </x:row>
    <x:row r="5" ht="45" customHeight="1">
      <x:c r="A5" s="12" t="str">
        <x:v>Material base</x:v>
      </x:c>
      <x:c r="B5" s="12" t="str">
        <x:v>PCB 6 capas</x:v>
      </x:c>
      <x:c r="C5" s="12" t="str">
        <x:v>FR-4</x:v>
      </x:c>
      <x:c r="D5" s="12" t="str"/>
      <x:c r="E5" s="12" t="str">
        <x:v>https://jlcpcb.com/resources/6-layer-pcbs</x:v>
      </x:c>
      <x:c r="F5" s="12" t="str">
        <x:v>Material del apilamiento</x:v>
      </x:c>
    </x:row>
    <x:row r="6" ht="45" customHeight="1">
      <x:c r="A6" s="12" t="str">
        <x:v>Espesor disponible</x:v>
      </x:c>
      <x:c r="B6" s="12" t="str">
        <x:v>PCB 6 capas</x:v>
      </x:c>
      <x:c r="C6" s="12" t="str">
        <x:v>1,6</x:v>
      </x:c>
      <x:c r="D6" s="12" t="str">
        <x:v>mm</x:v>
      </x:c>
      <x:c r="E6" s="12" t="str">
        <x:v>https://jlcpcb.com/resources/6-layer-pcbs</x:v>
      </x:c>
      <x:c r="F6" s="12" t="str">
        <x:v>Opción del servicio de 6 capas</x:v>
      </x:c>
    </x:row>
    <x:row r="7" ht="45" customHeight="1">
      <x:c r="A7" s="12" t="str">
        <x:v>Cobre exterior</x:v>
      </x:c>
      <x:c r="B7" s="12" t="str">
        <x:v>PCB 6 capas</x:v>
      </x:c>
      <x:c r="C7" s="12" t="str">
        <x:v>1 oz (35)</x:v>
      </x:c>
      <x:c r="D7" s="12" t="str">
        <x:v>µm</x:v>
      </x:c>
      <x:c r="E7" s="12" t="str">
        <x:v>https://jlcpcb.com/resources/6-layer-pcbs</x:v>
      </x:c>
      <x:c r="F7" s="12" t="str">
        <x:v>Supuesto de cálculo de potencia</x:v>
      </x:c>
    </x:row>
    <x:row r="8" ht="45" customHeight="1">
      <x:c r="A8" s="12" t="str">
        <x:v>Cobre interior disponible</x:v>
      </x:c>
      <x:c r="B8" s="12" t="str">
        <x:v>PCB 6 capas</x:v>
      </x:c>
      <x:c r="C8" s="12" t="str">
        <x:v>0,5/1/2 oz</x:v>
      </x:c>
      <x:c r="D8" s="12" t="str"/>
      <x:c r="E8" s="12" t="str">
        <x:v>https://jlcpcb.com/resources/6-layer-pcbs</x:v>
      </x:c>
      <x:c r="F8" s="12" t="str">
        <x:v>Opciones de apilamiento</x:v>
      </x:c>
    </x:row>
    <x:row r="9" ht="45" customHeight="1">
      <x:c r="A9" s="12" t="str">
        <x:v>Pista/espacio mínimos</x:v>
      </x:c>
      <x:c r="B9" s="12" t="str">
        <x:v>Multicapa 1 oz</x:v>
      </x:c>
      <x:c r="C9" s="12" t="str">
        <x:v>0,09 / 0,09</x:v>
      </x:c>
      <x:c r="D9" s="12" t="str">
        <x:v>mm</x:v>
      </x:c>
      <x:c r="E9" s="12" t="str">
        <x:v>https://jlcpcb.com/capabilities/pcb-capabilities/</x:v>
      </x:c>
      <x:c r="F9" s="12" t="str">
        <x:v>Límite de capacidad de fabricación</x:v>
      </x:c>
    </x:row>
    <x:row r="10" ht="45" customHeight="1">
      <x:c r="A10" s="12" t="str">
        <x:v>Taladro metalizado mínimo</x:v>
      </x:c>
      <x:c r="B10" s="12" t="str">
        <x:v>Multicapa</x:v>
      </x:c>
      <x:c r="C10" s="12" t="str">
        <x:v>0,15</x:v>
      </x:c>
      <x:c r="D10" s="12" t="str">
        <x:v>mm</x:v>
      </x:c>
      <x:c r="E10" s="12" t="str">
        <x:v>https://jlcpcb.com/capabilities/pcb-capabilities/</x:v>
      </x:c>
      <x:c r="F10" s="12" t="str">
        <x:v>Límite de fabricación</x:v>
      </x:c>
    </x:row>
    <x:row r="11" ht="45" customHeight="1">
      <x:c r="A11" s="12" t="str">
        <x:v>Vía mínima</x:v>
      </x:c>
      <x:c r="B11" s="12" t="str">
        <x:v>Taladro / diámetro</x:v>
      </x:c>
      <x:c r="C11" s="12" t="str">
        <x:v>0,15 / 0,25</x:v>
      </x:c>
      <x:c r="D11" s="12" t="str">
        <x:v>mm</x:v>
      </x:c>
      <x:c r="E11" s="12" t="str">
        <x:v>https://jlcpcb.com/capabilities/pcb-capabilities/</x:v>
      </x:c>
      <x:c r="F11" s="12" t="str">
        <x:v>Límite de fabricación</x:v>
      </x:c>
    </x:row>
    <x:row r="12" ht="45" customHeight="1">
      <x:c r="A12" s="12" t="str">
        <x:v>Anillo anular PTH</x:v>
      </x:c>
      <x:c r="B12" s="12" t="str">
        <x:v>Multicapa 1 oz, recomendado</x:v>
      </x:c>
      <x:c r="C12" s="12" t="str">
        <x:v>0,20</x:v>
      </x:c>
      <x:c r="D12" s="12" t="str">
        <x:v>mm</x:v>
      </x:c>
      <x:c r="E12" s="12" t="str">
        <x:v>https://jlcpcb.com/capabilities/pcb-capabilities/</x:v>
      </x:c>
      <x:c r="F12" s="12" t="str">
        <x:v>Regla recomendada de pads</x:v>
      </x:c>
    </x:row>
    <x:row r="13" ht="45" customHeight="1">
      <x:c r="A13" s="12" t="str">
        <x:v>Separación pad-pista</x:v>
      </x:c>
      <x:c r="B13" s="12" t="str">
        <x:v>Multicapa 1 oz</x:v>
      </x:c>
      <x:c r="C13" s="12" t="str">
        <x:v>0,10</x:v>
      </x:c>
      <x:c r="D13" s="12" t="str">
        <x:v>mm</x:v>
      </x:c>
      <x:c r="E13" s="12" t="str">
        <x:v>https://jlcpcb.com/capabilities/pcb-capabilities/</x:v>
      </x:c>
      <x:c r="F13" s="12" t="str">
        <x:v>Regla de clearance</x:v>
      </x:c>
    </x:row>
    <x:row r="14" ht="45" customHeight="1">
      <x:c r="A14" s="12" t="str">
        <x:v>Puente de máscara</x:v>
      </x:c>
      <x:c r="B14" s="12" t="str">
        <x:v>Cobre 1 oz, máscara verde</x:v>
      </x:c>
      <x:c r="C14" s="12" t="str">
        <x:v>0,10</x:v>
      </x:c>
      <x:c r="D14" s="12" t="str">
        <x:v>mm</x:v>
      </x:c>
      <x:c r="E14" s="12" t="str">
        <x:v>https://jlcpcb.com/capabilities/pcb-capabilities/</x:v>
      </x:c>
      <x:c r="F14" s="12" t="str">
        <x:v>Separación de máscara entre pads</x:v>
      </x:c>
    </x:row>
    <x:row r="15" ht="45" customHeight="1">
      <x:c r="A15" s="12" t="str">
        <x:v>Máscara-pista cercana</x:v>
      </x:c>
      <x:c r="B15" s="12" t="str">
        <x:v>Soldermask opening a pista</x:v>
      </x:c>
      <x:c r="C15" s="12" t="str">
        <x:v>≥0,09</x:v>
      </x:c>
      <x:c r="D15" s="12" t="str">
        <x:v>mm</x:v>
      </x:c>
      <x:c r="E15" s="12" t="str">
        <x:v>https://jlcpcb.com/capabilities/pcb-capabilities/</x:v>
      </x:c>
      <x:c r="F15" s="12" t="str">
        <x:v>Regla de clearance de máscara</x:v>
      </x:c>
    </x:row>
    <x:row r="16" ht="45" customHeight="1">
      <x:c r="A16" s="12" t="str">
        <x:v>Impedancia controlada</x:v>
      </x:c>
      <x:c r="B16" s="12" t="str">
        <x:v>Servicio 6 capas</x:v>
      </x:c>
      <x:c r="C16" s="12" t="str">
        <x:v>Disponible</x:v>
      </x:c>
      <x:c r="D16" s="12" t="str"/>
      <x:c r="E16" s="12" t="str">
        <x:v>https://jlcpcb.com/resources/6-layer-pcbs</x:v>
      </x:c>
      <x:c r="F16" s="12" t="str">
        <x:v>Pares MIPI de 100 ohm diferencial</x:v>
      </x:c>
    </x:row>
    <x:row r="17" ht="45" customHeight="1">
      <x:c r="A17" s="12" t="str">
        <x:v>Pad BGA mínimo</x:v>
      </x:c>
      <x:c r="B17" s="12" t="str">
        <x:v>Servicio 6 capas</x:v>
      </x:c>
      <x:c r="C17" s="12" t="str">
        <x:v>0,25</x:v>
      </x:c>
      <x:c r="D17" s="12" t="str">
        <x:v>mm</x:v>
      </x:c>
      <x:c r="E17" s="12" t="str">
        <x:v>https://jlcpcb.com/resources/6-layer-pcbs</x:v>
      </x:c>
      <x:c r="F17" s="12" t="str">
        <x:v>Escape de VFBGA264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2" hidden="0" customWidth="1"/>
    <x:col min="4" max="4" width="45" hidden="0" customWidth="1"/>
  </x:cols>
  <x:sheetData>
    <x:row r="1" ht="32" customHeight="1">
      <x:c r="A1" s="7" t="str">
        <x:v>Parámetro</x:v>
      </x:c>
      <x:c r="B1" s="7" t="str">
        <x:v>Valor</x:v>
      </x:c>
      <x:c r="C1" s="7" t="str">
        <x:v>Unidad</x:v>
      </x:c>
      <x:c r="D1" s="7" t="str">
        <x:v>Fundamento / ecuación</x:v>
      </x:c>
    </x:row>
    <x:row r="2" ht="24" customHeight="1">
      <x:c r="A2" s="12" t="str">
        <x:v>Corriente de cálculo</x:v>
      </x:c>
      <x:c r="B2" s="12" t="n">
        <x:v>1</x:v>
      </x:c>
      <x:c r="C2" s="12" t="str">
        <x:v>A</x:v>
      </x:c>
      <x:c r="D2" s="12" t="str">
        <x:v>Límite de corriente de 3V3_OBC</x:v>
      </x:c>
    </x:row>
    <x:row r="3" ht="24" customHeight="1">
      <x:c r="A3" s="12" t="str">
        <x:v>Resistividad de cobre</x:v>
      </x:c>
      <x:c r="B3" s="12" t="n">
        <x:v>1.72e-8</x:v>
      </x:c>
      <x:c r="C3" s="12" t="str">
        <x:v>Ω·m</x:v>
      </x:c>
      <x:c r="D3" s="12" t="str">
        <x:v>Valor a ~20 °C</x:v>
      </x:c>
    </x:row>
    <x:row r="4" ht="24" customHeight="1">
      <x:c r="A4" s="12" t="str">
        <x:v>Longitud supuesta</x:v>
      </x:c>
      <x:c r="B4" s="12" t="n">
        <x:v>50</x:v>
      </x:c>
      <x:c r="C4" s="12" t="str">
        <x:v>mm</x:v>
      </x:c>
      <x:c r="D4" s="12" t="str">
        <x:v>Longitud utilizada en estimación</x:v>
      </x:c>
    </x:row>
    <x:row r="5" ht="24" customHeight="1">
      <x:c r="A5" s="12" t="str">
        <x:v>Espesor de cobre</x:v>
      </x:c>
      <x:c r="B5" s="12" t="n">
        <x:v>35</x:v>
      </x:c>
      <x:c r="C5" s="12" t="str">
        <x:v>µm</x:v>
      </x:c>
      <x:c r="D5" s="12" t="str">
        <x:v>Supuesto de 1 oz</x:v>
      </x:c>
    </x:row>
    <x:row r="6" ht="24" customHeight="1">
      <x:c r="A6" s="12" t="str">
        <x:v>Caída de tensión máxima</x:v>
      </x:c>
      <x:c r="B6" s="12" t="n">
        <x:v>0.033</x:v>
      </x:c>
      <x:c r="C6" s="12" t="str">
        <x:v>V</x:v>
      </x:c>
      <x:c r="D6" s="12" t="str">
        <x:v>1 % de 3,3 V</x:v>
      </x:c>
    </x:row>
    <x:row r="7" ht="24" customHeight="1">
      <x:c r="A7" s="12" t="str">
        <x:v>Anchura por caída de tensión</x:v>
      </x:c>
      <x:c r="B7" s="14" t="n">
        <x:f>B3*(B4/1000)*B2/((B5/1000000)*B6)*1000</x:f>
        <x:v>0.7445887445887446</x:v>
      </x:c>
      <x:c r="C7" s="12" t="str">
        <x:v>mm</x:v>
      </x:c>
      <x:c r="D7" s="12" t="str">
        <x:v>w = (ρ · L · I) / (t · ΔV)</x:v>
      </x:c>
    </x:row>
    <x:row r="8" ht="24" customHeight="1">
      <x:c r="A8" s="12" t="str">
        <x:v>Anchura por criterio térmico</x:v>
      </x:c>
      <x:c r="B8" s="14" t="n">
        <x:v>0.300376</x:v>
      </x:c>
      <x:c r="C8" s="12" t="str">
        <x:v>mm</x:v>
      </x:c>
      <x:c r="D8" s="12" t="str">
        <x:v>Referencia de cálculo IPC-2221 en matriz original, ΔT = 10 °C</x:v>
      </x:c>
    </x:row>
    <x:row r="9" ht="24" customHeight="1">
      <x:c r="A9" s="12" t="str">
        <x:v>Mayor ancho resultante</x:v>
      </x:c>
      <x:c r="B9" s="14" t="n">
        <x:f>MAX(B7:B8)</x:f>
        <x:v>0.7445887445887446</x:v>
      </x:c>
      <x:c r="C9" s="12" t="str">
        <x:v>mm</x:v>
      </x:c>
      <x:c r="D9" s="12" t="str">
        <x:v>MAX de los dos criterios</x:v>
      </x:c>
    </x:row>
    <x:row r="10" ht="24" customHeight="1">
      <x:c r="A10" s="12" t="str">
        <x:v>Ancho objetivo redondeado</x:v>
      </x:c>
      <x:c r="B10" s="14" t="n">
        <x:f>ROUNDUP(B9*10,0)/10</x:f>
        <x:v>0.8</x:v>
      </x:c>
      <x:c r="C10" s="12" t="str">
        <x:v>mm</x:v>
      </x:c>
      <x:c r="D10" s="12" t="str">
        <x:v>Redondeo al décimo de milímetro superior</x:v>
      </x:c>
    </x:row>
    <x:row r="11" ht="24" customHeight="1">
      <x:c r="A11" s="12" t="str">
        <x:v>Terminación CAN dividida</x:v>
      </x:c>
      <x:c r="B11" s="14" t="n">
        <x:f>2*60.4</x:f>
        <x:v>120.8</x:v>
      </x:c>
      <x:c r="C11" s="12" t="str">
        <x:v>Ω</x:v>
      </x:c>
      <x:c r="D11" s="12" t="str">
        <x:v>2 × 60,4 Ω</x:v>
      </x:c>
    </x:row>
    <x:row r="12" ht="24" customHeight="1">
      <x:c r="A12" s="12" t="str">
        <x:v>Relación divisor ADC 3V3/5V</x:v>
      </x:c>
      <x:c r="B12" s="14" t="n">
        <x:f>10/(30.1+10)</x:f>
        <x:v>0.24937655860349126</x:v>
      </x:c>
      <x:c r="C12" s="12" t="str">
        <x:v>V/V</x:v>
      </x:c>
      <x:c r="D12" s="12" t="str">
        <x:v>R inferior / (R superior + R inferior)</x:v>
      </x:c>
    </x:row>
    <x:row r="13" ht="24" customHeight="1">
      <x:c r="A13" s="12" t="str">
        <x:v>ADC para riel 3V3</x:v>
      </x:c>
      <x:c r="B13" s="14" t="n">
        <x:f>3.3*B12</x:f>
        <x:v>0.8229426433915211</x:v>
      </x:c>
      <x:c r="C13" s="12" t="str">
        <x:v>V</x:v>
      </x:c>
      <x:c r="D13" s="12" t="str">
        <x:v>3,3 V × relación divisor</x:v>
      </x:c>
    </x:row>
    <x:row r="14" ht="24" customHeight="1">
      <x:c r="A14" s="12" t="str">
        <x:v>ADC para riel 5V</x:v>
      </x:c>
      <x:c r="B14" s="14" t="n">
        <x:f>5*B12</x:f>
        <x:v>1.2468827930174562</x:v>
      </x:c>
      <x:c r="C14" s="12" t="str">
        <x:v>V</x:v>
      </x:c>
      <x:c r="D14" s="12" t="str">
        <x:v>5 V × relación divisor</x:v>
      </x:c>
    </x:row>
    <x:row r="15" ht="24" customHeight="1">
      <x:c r="A15" s="12" t="str">
        <x:v>ADC para riel 1V8</x:v>
      </x:c>
      <x:c r="B15" s="14" t="n">
        <x:f>1.8*10/(10+10)</x:f>
        <x:v>0.9</x:v>
      </x:c>
      <x:c r="C15" s="12" t="str">
        <x:v>V</x:v>
      </x:c>
      <x:c r="D15" s="12" t="str">
        <x:v>1,8 V × (10 / (10+10))</x:v>
      </x:c>
    </x:row>
  </x:sheetData>
  <x:pageMargins left="0.7" right="0.7" top="0.75" bottom="0.75" header="0.3" footer="0.3"/>
</x:worksheet>
</file>