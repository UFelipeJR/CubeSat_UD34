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_Resumen" sheetId="1" state="visible" r:id="rId1"/>
    <sheet xmlns:r="http://schemas.openxmlformats.org/officeDocument/2006/relationships" name="Supuestos_y_Requisitos" sheetId="2" state="visible" r:id="rId2"/>
    <sheet xmlns:r="http://schemas.openxmlformats.org/officeDocument/2006/relationships" name="Especificaciones_Tecnicas" sheetId="3" state="visible" r:id="rId3"/>
    <sheet xmlns:r="http://schemas.openxmlformats.org/officeDocument/2006/relationships" name="Distribucion_HW_SW" sheetId="4" state="visible" r:id="rId4"/>
    <sheet xmlns:r="http://schemas.openxmlformats.org/officeDocument/2006/relationships" name="Matriz_Seleccion_Arq" sheetId="5" state="visible" r:id="rId5"/>
    <sheet xmlns:r="http://schemas.openxmlformats.org/officeDocument/2006/relationships" name="PCBs_y_Componentes" sheetId="6" state="visible" r:id="rId6"/>
    <sheet xmlns:r="http://schemas.openxmlformats.org/officeDocument/2006/relationships" name="Matriz_Interfaces" sheetId="7" state="visible" r:id="rId7"/>
    <sheet xmlns:r="http://schemas.openxmlformats.org/officeDocument/2006/relationships" name="Presupuestos_Recursos" sheetId="8" state="visible" r:id="rId8"/>
    <sheet xmlns:r="http://schemas.openxmlformats.org/officeDocument/2006/relationships" name="Riesgos_y_TB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color rgb="000000FF"/>
      <sz val="10"/>
      <u val="single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right" vertical="center"/>
    </xf>
    <xf numFmtId="0" fontId="6" fillId="4" borderId="7" applyAlignment="1" pivotButton="0" quotePrefix="0" xfId="0">
      <alignment horizontal="left" vertical="center" wrapText="1"/>
    </xf>
    <xf numFmtId="164" fontId="6" fillId="4" borderId="7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2" fontId="6" fillId="4" borderId="7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/>
    </xf>
    <xf numFmtId="0" fontId="6" fillId="4" borderId="7" pivotButton="0" quotePrefix="0" xfId="0"/>
    <xf numFmtId="166" fontId="6" fillId="4" borderId="7" applyAlignment="1" pivotButton="0" quotePrefix="0" xfId="0">
      <alignment horizontal="right" vertical="center"/>
    </xf>
    <xf numFmtId="3" fontId="6" fillId="4" borderId="7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right" vertical="center"/>
    </xf>
    <xf numFmtId="165" fontId="6" fillId="4" borderId="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65" customWidth="1" min="2" max="2"/>
    <col width="65" customWidth="1" min="3" max="3"/>
    <col width="20" customWidth="1" min="4" max="4"/>
    <col width="65" customWidth="1" min="5" max="5"/>
  </cols>
  <sheetData>
    <row r="1">
      <c r="A1" s="1" t="inlineStr">
        <is>
          <t>Proyecto CubeSat UD34 - Hoja de Cálculo de Arquitectura y Presupuestos</t>
        </is>
      </c>
    </row>
    <row r="2">
      <c r="A2" s="2" t="inlineStr">
        <is>
          <t>Basado exclusivamente en el documento de diseño 'DiseñoLab3.txt' | Versión 1.0 (Septiembre 2026)</t>
        </is>
      </c>
    </row>
    <row r="3"/>
    <row r="4">
      <c r="A4" s="3" t="inlineStr">
        <is>
          <t>INFORMACIÓN GENERAL DEL PROYECTO</t>
        </is>
      </c>
      <c r="B4" s="4" t="n"/>
      <c r="C4" s="4" t="n"/>
      <c r="D4" s="4" t="n"/>
      <c r="E4" s="4" t="n"/>
    </row>
    <row r="5">
      <c r="A5" s="5" t="inlineStr">
        <is>
          <t>Proyecto:</t>
        </is>
      </c>
      <c r="B5" s="6" t="inlineStr">
        <is>
          <t>Nanosatélite CubeSat UD34 (Práctica 3)</t>
        </is>
      </c>
      <c r="C5" s="7" t="n"/>
      <c r="D5" s="7" t="n"/>
      <c r="E5" s="8" t="n"/>
    </row>
    <row r="6">
      <c r="A6" s="5" t="inlineStr">
        <is>
          <t>Misión:</t>
        </is>
      </c>
      <c r="B6" s="6" t="inlineStr">
        <is>
          <t>Monitoreo multiespectral de regiones de cultivo de café en Colombia</t>
        </is>
      </c>
      <c r="C6" s="7" t="n"/>
      <c r="D6" s="7" t="n"/>
      <c r="E6" s="8" t="n"/>
    </row>
    <row r="7">
      <c r="A7" s="5" t="inlineStr">
        <is>
          <t>Institución:</t>
        </is>
      </c>
      <c r="B7" s="6" t="inlineStr">
        <is>
          <t>Universidad de Antioquia - Dpto. de Ingeniería Electrónica y Telecomunicaciones</t>
        </is>
      </c>
      <c r="C7" s="7" t="n"/>
      <c r="D7" s="7" t="n"/>
      <c r="E7" s="8" t="n"/>
    </row>
    <row r="8">
      <c r="A8" s="5" t="inlineStr">
        <is>
          <t>Integrantes:</t>
        </is>
      </c>
      <c r="B8" s="6" t="inlineStr">
        <is>
          <t>Felipe Jiménez Ramírez y Jose Manuel Arias Toro</t>
        </is>
      </c>
      <c r="C8" s="7" t="n"/>
      <c r="D8" s="7" t="n"/>
      <c r="E8" s="8" t="n"/>
    </row>
    <row r="9">
      <c r="A9" s="5" t="inlineStr">
        <is>
          <t>Fuente de Datos:</t>
        </is>
      </c>
      <c r="B9" s="6" t="inlineStr">
        <is>
          <t>DiseñoLab3.txt (Basado estrictamente en este documento de diseño)</t>
        </is>
      </c>
      <c r="C9" s="7" t="n"/>
      <c r="D9" s="7" t="n"/>
      <c r="E9" s="8" t="n"/>
    </row>
    <row r="10">
      <c r="A10" s="5" t="inlineStr">
        <is>
          <t>Fecha de Edición:</t>
        </is>
      </c>
      <c r="B10" s="6" t="inlineStr">
        <is>
          <t>Septiembre de 2026</t>
        </is>
      </c>
      <c r="C10" s="7" t="n"/>
      <c r="D10" s="7" t="n"/>
      <c r="E10" s="8" t="n"/>
    </row>
    <row r="11"/>
    <row r="12">
      <c r="A12" s="3" t="inlineStr">
        <is>
          <t>TABLA DE CONTENIDOS Y NAVEGACIÓN DIRECTA</t>
        </is>
      </c>
      <c r="B12" s="4" t="n"/>
      <c r="C12" s="4" t="n"/>
      <c r="D12" s="4" t="n"/>
      <c r="E12" s="4" t="n"/>
    </row>
    <row r="13">
      <c r="A13" s="9" t="inlineStr">
        <is>
          <t>N° Pestaña</t>
        </is>
      </c>
      <c r="B13" s="9" t="inlineStr">
        <is>
          <t>Nombre de la Pestaña</t>
        </is>
      </c>
      <c r="C13" s="9" t="inlineStr">
        <is>
          <t>Descripción de Contenido</t>
        </is>
      </c>
      <c r="D13" s="9" t="inlineStr">
        <is>
          <t>Tablas Incluidas</t>
        </is>
      </c>
      <c r="E13" s="9" t="inlineStr">
        <is>
          <t>Enlace</t>
        </is>
      </c>
    </row>
    <row r="14">
      <c r="A14" s="10" t="inlineStr">
        <is>
          <t>1</t>
        </is>
      </c>
      <c r="B14" s="11" t="inlineStr">
        <is>
          <t>Supuestos_y_Requisitos</t>
        </is>
      </c>
      <c r="C14" s="12" t="inlineStr">
        <is>
          <t>Supuestos de misión (SUP) y matrices de Requisitos Funcionales (RF), No Funcionales (RNF), Ambientales (RA) y Normativos (RN).</t>
        </is>
      </c>
      <c r="D14" s="10" t="inlineStr">
        <is>
          <t>Tablas 1, 2, 3, 4</t>
        </is>
      </c>
      <c r="E14" s="13">
        <f>HYPERLINK("#Supuestos_y_Requisitos!A1", "Ir a la pestaña →")</f>
        <v/>
      </c>
    </row>
    <row r="15">
      <c r="A15" s="10" t="inlineStr">
        <is>
          <t>2</t>
        </is>
      </c>
      <c r="B15" s="11" t="inlineStr">
        <is>
          <t>Especificaciones_Tecnicas</t>
        </is>
      </c>
      <c r="C15" s="12" t="inlineStr">
        <is>
          <t>Matriz de especificaciones técnicas parametrizadas y su trazabilidad explícita a requisitos por subsistema.</t>
        </is>
      </c>
      <c r="D15" s="10" t="inlineStr">
        <is>
          <t>Tabla 5</t>
        </is>
      </c>
      <c r="E15" s="13">
        <f>HYPERLINK("#Especificaciones_Tecnicas!A1", "Ir a la pestaña →")</f>
        <v/>
      </c>
    </row>
    <row r="16">
      <c r="A16" s="10" t="inlineStr">
        <is>
          <t>3</t>
        </is>
      </c>
      <c r="B16" s="11" t="inlineStr">
        <is>
          <t>Distribucion_HW_SW</t>
        </is>
      </c>
      <c r="C16" s="12" t="inlineStr">
        <is>
          <t>Reparto preliminar de funciones entre hardware dedicado y software de abordo.</t>
        </is>
      </c>
      <c r="D16" s="10" t="inlineStr">
        <is>
          <t>Tabla 6</t>
        </is>
      </c>
      <c r="E16" s="13">
        <f>HYPERLINK("#Distribucion_HW_SW!A1", "Ir a la pestaña →")</f>
        <v/>
      </c>
    </row>
    <row r="17">
      <c r="A17" s="10" t="inlineStr">
        <is>
          <t>4</t>
        </is>
      </c>
      <c r="B17" s="11" t="inlineStr">
        <is>
          <t>Matriz_Seleccion_Arq</t>
        </is>
      </c>
      <c r="C17" s="12" t="inlineStr">
        <is>
          <t>Matriz comparativa cuantitativa entre Alternativa A (4 PCBs) y Alternativa B (2 PCBs) con fórmulas de ponderación.</t>
        </is>
      </c>
      <c r="D17" s="10" t="inlineStr">
        <is>
          <t>Tabla 7</t>
        </is>
      </c>
      <c r="E17" s="13">
        <f>HYPERLINK("#Matriz_Seleccion_Arq!A1", "Ir a la pestaña →")</f>
        <v/>
      </c>
    </row>
    <row r="18">
      <c r="A18" s="10" t="inlineStr">
        <is>
          <t>5</t>
        </is>
      </c>
      <c r="B18" s="11" t="inlineStr">
        <is>
          <t>PCBs_y_Componentes</t>
        </is>
      </c>
      <c r="C18" s="12" t="inlineStr">
        <is>
          <t>División funcional de las 4 PCBs apiladas en PC-104 y listado de componentes críticos de referencia.</t>
        </is>
      </c>
      <c r="D18" s="10" t="inlineStr">
        <is>
          <t>Tablas 8, 9</t>
        </is>
      </c>
      <c r="E18" s="13">
        <f>HYPERLINK("#PCBs_y_Componentes!A1", "Ir a la pestaña →")</f>
        <v/>
      </c>
    </row>
    <row r="19">
      <c r="A19" s="10" t="inlineStr">
        <is>
          <t>6</t>
        </is>
      </c>
      <c r="B19" s="11" t="inlineStr">
        <is>
          <t>Matriz_Interfaces</t>
        </is>
      </c>
      <c r="C19" s="12" t="inlineStr">
        <is>
          <t>Matriz detallada de interfaces electrónicas, buses (I2C, SPI, QSPI, CAN) y niveles eléctricos (IF-01 a IF-17).</t>
        </is>
      </c>
      <c r="D19" s="10" t="inlineStr">
        <is>
          <t>Tabla 10</t>
        </is>
      </c>
      <c r="E19" s="13">
        <f>HYPERLINK("#Matriz_Interfaces!A1", "Ir a la pestaña →")</f>
        <v/>
      </c>
    </row>
    <row r="20">
      <c r="A20" s="10" t="inlineStr">
        <is>
          <t>7</t>
        </is>
      </c>
      <c r="B20" s="11" t="inlineStr">
        <is>
          <t>Presupuestos_Recursos</t>
        </is>
      </c>
      <c r="C20" s="12" t="inlineStr">
        <is>
          <t>Presupuestos de potencia, masa, volumen y energía por órbita junto con el presupuesto de datos y memoria.</t>
        </is>
      </c>
      <c r="D20" s="10" t="inlineStr">
        <is>
          <t>Tablas 11, 12</t>
        </is>
      </c>
      <c r="E20" s="13">
        <f>HYPERLINK("#Presupuestos_Recursos!A1", "Ir a la pestaña →")</f>
        <v/>
      </c>
    </row>
    <row r="21">
      <c r="A21" s="10" t="inlineStr">
        <is>
          <t>8</t>
        </is>
      </c>
      <c r="B21" s="11" t="inlineStr">
        <is>
          <t>Riesgos_y_TBDs</t>
        </is>
      </c>
      <c r="C21" s="12" t="inlineStr">
        <is>
          <t>Asuntos pendientes por definir (TBD-01 a TBD-07) y matriz de riesgos técnicos preliminares.</t>
        </is>
      </c>
      <c r="D21" s="10" t="inlineStr">
        <is>
          <t>Tablas 13, 14</t>
        </is>
      </c>
      <c r="E21" s="13">
        <f>HYPERLINK("#Riesgos_y_TBDs!A1", "Ir a la pestaña →")</f>
        <v/>
      </c>
    </row>
    <row r="22"/>
    <row r="23"/>
    <row r="24">
      <c r="A24" s="3" t="inlineStr">
        <is>
          <t>CONVENCIONES Y CÓDIGO DE COLORES DEL LIBRO</t>
        </is>
      </c>
      <c r="B24" s="4" t="n"/>
      <c r="C24" s="4" t="n"/>
      <c r="D24" s="4" t="n"/>
      <c r="E24" s="4" t="n"/>
    </row>
    <row r="25">
      <c r="A25" s="14" t="inlineStr"/>
      <c r="B25" s="11" t="inlineStr">
        <is>
          <t>Celda de Entrada / Parámetro Modificable</t>
        </is>
      </c>
      <c r="C25" s="6" t="inlineStr">
        <is>
          <t>Valores cuantitativos de entrada o especificaciones del satélite.</t>
        </is>
      </c>
      <c r="D25" s="7" t="n"/>
      <c r="E25" s="8" t="n"/>
    </row>
    <row r="26">
      <c r="A26" s="15" t="inlineStr"/>
      <c r="B26" s="11" t="inlineStr">
        <is>
          <t>Celda Calculada por Fórmula (=SUMA, =SUMAPRODUCTO, etc.)</t>
        </is>
      </c>
      <c r="C26" s="6" t="inlineStr">
        <is>
          <t>Resultados de balances energéticos, masa total, datos y puntajes ponderados.</t>
        </is>
      </c>
      <c r="D26" s="7" t="n"/>
      <c r="E26" s="8" t="n"/>
    </row>
    <row r="27">
      <c r="A27" s="16" t="inlineStr"/>
      <c r="B27" s="11" t="inlineStr">
        <is>
          <t>Encabezado Principal de Tabla</t>
        </is>
      </c>
      <c r="C27" s="6" t="inlineStr">
        <is>
          <t>Identificación de columnas y secciones oficiales del documento.</t>
        </is>
      </c>
      <c r="D27" s="7" t="n"/>
      <c r="E27" s="8" t="n"/>
    </row>
    <row r="28">
      <c r="A28" s="17" t="inlineStr"/>
      <c r="B28" s="11" t="inlineStr">
        <is>
          <t>Encabezado de Sección</t>
        </is>
      </c>
      <c r="C28" s="6" t="inlineStr">
        <is>
          <t>División lógica dentro de cada hoja de trabajo.</t>
        </is>
      </c>
      <c r="D28" s="7" t="n"/>
      <c r="E28" s="8" t="n"/>
    </row>
  </sheetData>
  <mergeCells count="10">
    <mergeCell ref="B9:E9"/>
    <mergeCell ref="C28:E28"/>
    <mergeCell ref="B8:E8"/>
    <mergeCell ref="C27:E27"/>
    <mergeCell ref="B6:E6"/>
    <mergeCell ref="B7:E7"/>
    <mergeCell ref="C26:E26"/>
    <mergeCell ref="B5:E5"/>
    <mergeCell ref="B10:E10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65" customWidth="1" min="3" max="3"/>
    <col width="12" customWidth="1" min="4" max="4"/>
    <col width="65" customWidth="1" min="5" max="5"/>
  </cols>
  <sheetData>
    <row r="1">
      <c r="A1" s="1" t="inlineStr">
        <is>
          <t>Supuestos de Misión y Matriz de Requisitos</t>
        </is>
      </c>
    </row>
    <row r="2">
      <c r="A2" s="2" t="inlineStr">
        <is>
          <t>Requisitos Funcionales (RF), No Funcionales (RNF), Ambientales (RA) y Normativos (RN)</t>
        </is>
      </c>
    </row>
    <row r="3"/>
    <row r="4">
      <c r="A4" s="3" t="inlineStr">
        <is>
          <t>TABLA 1: Tabla de supuestos de misión y operación para el CubeSat UD34.</t>
        </is>
      </c>
      <c r="B4" s="4" t="n"/>
      <c r="C4" s="4" t="n"/>
    </row>
    <row r="5">
      <c r="A5" s="9" t="inlineStr">
        <is>
          <t>Código</t>
        </is>
      </c>
      <c r="B5" s="9" t="inlineStr">
        <is>
          <t>Supuesto</t>
        </is>
      </c>
      <c r="C5" s="9" t="inlineStr">
        <is>
          <t>Descripción y alcance</t>
        </is>
      </c>
    </row>
    <row r="6">
      <c r="A6" s="18" t="inlineStr">
        <is>
          <t>SUP-01</t>
        </is>
      </c>
      <c r="B6" s="18" t="inlineStr">
        <is>
          <t>Órbita SSO nominal</t>
        </is>
      </c>
      <c r="C6" s="18" t="inlineStr">
        <is>
          <t>Se adopta como supuesto de diseño una órbita heliosíncrona circular a 550 km de altitud y una inclinación aproximada de 97.5°, buscando condiciones de iluminación relativamente consistentes durante las pasadas ópticas.</t>
        </is>
      </c>
    </row>
    <row r="7">
      <c r="A7" s="19" t="inlineStr">
        <is>
          <t>SUP-02</t>
        </is>
      </c>
      <c r="B7" s="19" t="inlineStr">
        <is>
          <t>Visibilidad de estación terrestre</t>
        </is>
      </c>
      <c r="C7" s="19" t="inlineStr">
        <is>
          <t>Se estiman entre 2 y 4 pases diarios útiles sobre la estación terrestre de Medellín, con ventanas aproximadas de 8 a 10 minutos por pase.</t>
        </is>
      </c>
    </row>
    <row r="8">
      <c r="A8" s="18" t="inlineStr">
        <is>
          <t>SUP-03</t>
        </is>
      </c>
      <c r="B8" s="18" t="inlineStr">
        <is>
          <t>Resolución espacial de la carga útil</t>
        </is>
      </c>
      <c r="C8" s="18" t="inlineStr">
        <is>
          <t>Se establece como objetivo preliminar una resolución espacial multiespectral inferior a 15 m por píxel. El volumen de datos por imagen se calculará posteriormente a partir del sensor y la configuración multiespectral utilizados como referencia.</t>
        </is>
      </c>
    </row>
    <row r="9">
      <c r="A9" s="19" t="inlineStr">
        <is>
          <t>SUP-04</t>
        </is>
      </c>
      <c r="B9" s="19" t="inlineStr">
        <is>
          <t>Perfil simplificado de eclipse</t>
        </is>
      </c>
      <c r="C9" s="19" t="inlineStr">
        <is>
          <t>Para los cálculos preliminares se adopta una órbita nominal de 90 minutos, con 55 minutos de iluminación y 35 minutos de eclipse, y una profundidad de descarga máxima objetivo del 30%.</t>
        </is>
      </c>
    </row>
    <row r="10"/>
    <row r="11">
      <c r="A11" s="3" t="inlineStr">
        <is>
          <t>TABLA 2: Requisitos funcionales del sistema CubeSat UD34 (RF-01 a RF-08).</t>
        </is>
      </c>
      <c r="B11" s="4" t="n"/>
      <c r="C11" s="4" t="n"/>
      <c r="D11" s="4" t="n"/>
      <c r="E11" s="4" t="n"/>
    </row>
    <row r="12">
      <c r="A12" s="9" t="inlineStr">
        <is>
          <t>ID</t>
        </is>
      </c>
      <c r="B12" s="9" t="inlineStr">
        <is>
          <t>Requisito</t>
        </is>
      </c>
      <c r="C12" s="9" t="inlineStr">
        <is>
          <t>Origen o justificación</t>
        </is>
      </c>
      <c r="D12" s="9" t="inlineStr">
        <is>
          <t>Prioridad</t>
        </is>
      </c>
      <c r="E12" s="9" t="inlineStr">
        <is>
          <t>Criterio de aceptación</t>
        </is>
      </c>
    </row>
    <row r="13">
      <c r="A13" s="18" t="inlineStr">
        <is>
          <t>RF-01</t>
        </is>
      </c>
      <c r="B13" s="18" t="inlineStr">
        <is>
          <t>Adquirir imágenes multiespectrales de regiones de interés terrestre.</t>
        </is>
      </c>
      <c r="C13" s="18" t="inlineStr">
        <is>
          <t>Misión principal.</t>
        </is>
      </c>
      <c r="D13" s="18" t="inlineStr">
        <is>
          <t>Alta</t>
        </is>
      </c>
      <c r="E13" s="18" t="inlineStr">
        <is>
          <t>Demostrar la recepción y el almacenamiento correcto de datos procedentes de la cámara multiespectral.</t>
        </is>
      </c>
    </row>
    <row r="14">
      <c r="A14" s="19" t="inlineStr">
        <is>
          <t>RF-02</t>
        </is>
      </c>
      <c r="B14" s="19" t="inlineStr">
        <is>
          <t>Almacenar temporalmente imágenes y datos de estado a bordo.</t>
        </is>
      </c>
      <c r="C14" s="19" t="inlineStr">
        <is>
          <t>Conservación de información antes de transmitirla.</t>
        </is>
      </c>
      <c r="D14" s="19" t="inlineStr">
        <is>
          <t>Alta</t>
        </is>
      </c>
      <c r="E14" s="19" t="inlineStr">
        <is>
          <t>Verificar que la memoria a bordo almacene íntegramente los datos acumulados entre ventanas de descarga.</t>
        </is>
      </c>
    </row>
    <row r="15">
      <c r="A15" s="18" t="inlineStr">
        <is>
          <t>RF-03</t>
        </is>
      </c>
      <c r="B15" s="18" t="inlineStr">
        <is>
          <t>Transmitir información a la estación terrestre y recibir instrucciones de control.</t>
        </is>
      </c>
      <c r="C15" s="18" t="inlineStr">
        <is>
          <t>Comunicación bidireccional.</t>
        </is>
      </c>
      <c r="D15" s="18" t="inlineStr">
        <is>
          <t>Alta</t>
        </is>
      </c>
      <c r="E15" s="18" t="inlineStr">
        <is>
          <t>Establecer un enlace bidireccional mediante prueba de RF en banco y simulación de pase.</t>
        </is>
      </c>
    </row>
    <row r="16">
      <c r="A16" s="19" t="inlineStr">
        <is>
          <t>RF-04</t>
        </is>
      </c>
      <c r="B16" s="19" t="inlineStr">
        <is>
          <t>Determinar y modificar la orientación espacial para la captura de imágenes y la operación del satélite.</t>
        </is>
      </c>
      <c r="C16" s="19" t="inlineStr">
        <is>
          <t>Apuntamiento de carga útil y operación.</t>
        </is>
      </c>
      <c r="D16" s="19" t="inlineStr">
        <is>
          <t>Alta</t>
        </is>
      </c>
      <c r="E16" s="19" t="inlineStr">
        <is>
          <t>Verificar el funcionamiento de sensores y actuadores de orientación dentro de los límites establecidos.</t>
        </is>
      </c>
    </row>
    <row r="17">
      <c r="A17" s="18" t="inlineStr">
        <is>
          <t>RF-05</t>
        </is>
      </c>
      <c r="B17" s="18" t="inlineStr">
        <is>
          <t>Generar, almacenar y distribuir energía eléctrica a todos los subsistemas.</t>
        </is>
      </c>
      <c r="C17" s="18" t="inlineStr">
        <is>
          <t>Operación autónoma con paneles solares y baterías.</t>
        </is>
      </c>
      <c r="D17" s="18" t="inlineStr">
        <is>
          <t>Alta</t>
        </is>
      </c>
      <c r="E17" s="18" t="inlineStr">
        <is>
          <t>Demostrar operación continua mediante paneles solares, batería y regulación de potencia.</t>
        </is>
      </c>
    </row>
    <row r="18">
      <c r="A18" s="19" t="inlineStr">
        <is>
          <t>RF-06</t>
        </is>
      </c>
      <c r="B18" s="19" t="inlineStr">
        <is>
          <t>Medir y reportar datos de estado e ingeniería de los subsistemas del satélite.</t>
        </is>
      </c>
      <c r="C18" s="19" t="inlineStr">
        <is>
          <t>Supervisión desde tierra.</t>
        </is>
      </c>
      <c r="D18" s="19" t="inlineStr">
        <is>
          <t>Media</t>
        </is>
      </c>
      <c r="E18" s="19" t="inlineStr">
        <is>
          <t>Generar tramas periódicas de housekeeping e integrarlas al enlace descendente.</t>
        </is>
      </c>
    </row>
    <row r="19">
      <c r="A19" s="18" t="inlineStr">
        <is>
          <t>RF-07</t>
        </is>
      </c>
      <c r="B19" s="18" t="inlineStr">
        <is>
          <t>Procesar y administrar los datos generados por la cámara multiespectral.</t>
        </is>
      </c>
      <c r="C19" s="18" t="inlineStr">
        <is>
          <t>Coordinación entre adquisición, memoria y comunicaciones.</t>
        </is>
      </c>
      <c r="D19" s="18" t="inlineStr">
        <is>
          <t>Alta</t>
        </is>
      </c>
      <c r="E19" s="18" t="inlineStr">
        <is>
          <t>Verificar que el sistema gestione los datos sin pérdida de tramas bajo la carga prevista.</t>
        </is>
      </c>
    </row>
    <row r="20">
      <c r="A20" s="19" t="inlineStr">
        <is>
          <t>RF-08</t>
        </is>
      </c>
      <c r="B20" s="19" t="inlineStr">
        <is>
          <t>Recibir e interpretar comandos desde la estación terrestre para modificar la operación.</t>
        </is>
      </c>
      <c r="C20" s="19" t="inlineStr">
        <is>
          <t>Control posterior al lanzamiento.</t>
        </is>
      </c>
      <c r="D20" s="19" t="inlineStr">
        <is>
          <t>Alta</t>
        </is>
      </c>
      <c r="E20" s="19" t="inlineStr">
        <is>
          <t>Interpretar y ejecutar correctamente comandos remotos recibidos por el transceptor.</t>
        </is>
      </c>
    </row>
    <row r="21"/>
    <row r="22">
      <c r="A22" s="3" t="inlineStr">
        <is>
          <t>TABLA 3: Requisitos no funcionales del sistema CubeSat UD34 (RNF-01 a RNF-06).</t>
        </is>
      </c>
      <c r="B22" s="4" t="n"/>
      <c r="C22" s="4" t="n"/>
      <c r="D22" s="4" t="n"/>
      <c r="E22" s="4" t="n"/>
    </row>
    <row r="23">
      <c r="A23" s="9" t="inlineStr">
        <is>
          <t>ID</t>
        </is>
      </c>
      <c r="B23" s="9" t="inlineStr">
        <is>
          <t>Requisito</t>
        </is>
      </c>
      <c r="C23" s="9" t="inlineStr">
        <is>
          <t>Origen o justificación</t>
        </is>
      </c>
      <c r="D23" s="9" t="inlineStr">
        <is>
          <t>Prioridad</t>
        </is>
      </c>
      <c r="E23" s="9" t="inlineStr">
        <is>
          <t>Criterio de aceptación</t>
        </is>
      </c>
    </row>
    <row r="24">
      <c r="A24" s="18" t="inlineStr">
        <is>
          <t>RNF-01</t>
        </is>
      </c>
      <c r="B24" s="18" t="inlineStr">
        <is>
          <t>Adaptar el diseño electrónico e integrativo al formato CubeSat 1U.</t>
        </is>
      </c>
      <c r="C24" s="18" t="inlineStr">
        <is>
          <t>Restricción geométrica y de masa del estándar CubeSat.</t>
        </is>
      </c>
      <c r="D24" s="18" t="inlineStr">
        <is>
          <t>Alta</t>
        </is>
      </c>
      <c r="E24" s="18" t="inlineStr">
        <is>
          <t>Validar que la masa total se mantenga dentro del límite aplicable de 2000 g para la referencia CubeSat 1U adoptada y que la integración mecánica corresponda al volumen disponible de 1U.</t>
        </is>
      </c>
    </row>
    <row r="25">
      <c r="A25" s="19" t="inlineStr">
        <is>
          <t>RNF-02</t>
        </is>
      </c>
      <c r="B25" s="19" t="inlineStr">
        <is>
          <t>Operar dentro del presupuesto energético disponible.</t>
        </is>
      </c>
      <c r="C25" s="19" t="inlineStr">
        <is>
          <t>Balance entre generación solar, batería y consumo.</t>
        </is>
      </c>
      <c r="D25" s="19" t="inlineStr">
        <is>
          <t>Alta</t>
        </is>
      </c>
      <c r="E25" s="19" t="inlineStr">
        <is>
          <t>Verificar mediante balance energético que la generación y el almacenamiento cubran los perfiles de operación y eclipse.</t>
        </is>
      </c>
    </row>
    <row r="26">
      <c r="A26" s="18" t="inlineStr">
        <is>
          <t>RNF-03</t>
        </is>
      </c>
      <c r="B26" s="18" t="inlineStr">
        <is>
          <t>Mantener operación continua en entorno LEO durante la vida útil especificada.</t>
        </is>
      </c>
      <c r="C26" s="18" t="inlineStr">
        <is>
          <t>Vida útil objetivo de 6 meses.</t>
        </is>
      </c>
      <c r="D26" s="18" t="inlineStr">
        <is>
          <t>Alta</t>
        </is>
      </c>
      <c r="E26" s="18" t="inlineStr">
        <is>
          <t>Demostrar mediante análisis y pruebas que los componentes seleccionados son compatibles con la operación prevista durante 6 meses.</t>
        </is>
      </c>
    </row>
    <row r="27">
      <c r="A27" s="19" t="inlineStr">
        <is>
          <t>RNF-04</t>
        </is>
      </c>
      <c r="B27" s="19" t="inlineStr">
        <is>
          <t>Utilizar un procesador con capacidad suficiente para coordinar subsistemas y datos.</t>
        </is>
      </c>
      <c r="C27" s="19" t="inlineStr">
        <is>
          <t>Coordinación de cámara, almacenamiento y COMMS.</t>
        </is>
      </c>
      <c r="D27" s="19" t="inlineStr">
        <is>
          <t>Alta</t>
        </is>
      </c>
      <c r="E27" s="19" t="inlineStr">
        <is>
          <t>Justificar que el procesador seleccionado disponga de capacidad de procesamiento e interfaces suficientes para manejar los subsistemas y el flujo de datos previsto.</t>
        </is>
      </c>
    </row>
    <row r="28">
      <c r="A28" s="18" t="inlineStr">
        <is>
          <t>RNF-05</t>
        </is>
      </c>
      <c r="B28" s="18" t="inlineStr">
        <is>
          <t>Disponer de capacidad de almacenamiento no volátil dimensionada según la generación y descarga de datos.</t>
        </is>
      </c>
      <c r="C28" s="18" t="inlineStr">
        <is>
          <t>Conservación de imágenes antes de la descarga.</t>
        </is>
      </c>
      <c r="D28" s="18" t="inlineStr">
        <is>
          <t>Alta</t>
        </is>
      </c>
      <c r="E28" s="18" t="inlineStr">
        <is>
          <t>Verificar que la memoria permita almacenar como mínimo tres días del perfil de datos previsto antes de requerir una descarga a tierra.</t>
        </is>
      </c>
    </row>
    <row r="29"/>
    <row r="30">
      <c r="A30" s="3" t="inlineStr">
        <is>
          <t>TABLA 4: Requisitos ambientales y normativos del CubeSat UD34.</t>
        </is>
      </c>
      <c r="B30" s="4" t="n"/>
      <c r="C30" s="4" t="n"/>
      <c r="D30" s="4" t="n"/>
      <c r="E30" s="4" t="n"/>
    </row>
    <row r="31">
      <c r="A31" s="9" t="inlineStr">
        <is>
          <t>ID</t>
        </is>
      </c>
      <c r="B31" s="9" t="inlineStr">
        <is>
          <t>Requisito</t>
        </is>
      </c>
      <c r="C31" s="9" t="inlineStr">
        <is>
          <t>Origen o justificación</t>
        </is>
      </c>
      <c r="D31" s="9" t="inlineStr">
        <is>
          <t>Prioridad</t>
        </is>
      </c>
      <c r="E31" s="9" t="inlineStr">
        <is>
          <t>Criterio de aceptación</t>
        </is>
      </c>
    </row>
    <row r="32">
      <c r="A32" s="18" t="inlineStr">
        <is>
          <t>RA-01</t>
        </is>
      </c>
      <c r="B32" s="18" t="inlineStr">
        <is>
          <t>Soportar las cargas mecánicas de lanzamiento y operar en alto vacío espacial.</t>
        </is>
      </c>
      <c r="C32" s="18" t="inlineStr">
        <is>
          <t>Entorno del vehículo de lanzamiento y órbita LEO.</t>
        </is>
      </c>
      <c r="D32" s="18" t="inlineStr">
        <is>
          <t>Alta</t>
        </is>
      </c>
      <c r="E32" s="18" t="inlineStr">
        <is>
          <t>Superar el perfil de pruebas mecánicas definido para el proyecto y conservar funcionalidad después de la prueba; verificar compatibilidad con vacío térmico.</t>
        </is>
      </c>
    </row>
    <row r="33">
      <c r="A33" s="19" t="inlineStr">
        <is>
          <t>RA-02</t>
        </is>
      </c>
      <c r="B33" s="19" t="inlineStr">
        <is>
          <t>Mantener funcionalidad ante ciclado térmico y el entorno de radiación previsto en LEO.</t>
        </is>
      </c>
      <c r="C33" s="19" t="inlineStr">
        <is>
          <t>Entorno térmico y espacial LEO.</t>
        </is>
      </c>
      <c r="D33" s="19" t="inlineStr">
        <is>
          <t>Alta</t>
        </is>
      </c>
      <c r="E33" s="19" t="inlineStr">
        <is>
          <t>Verificar operación estable dentro del rango térmico de diseño de -20\,°C a +70\,°C y aplicar estrategias de mitigación frente a SEE.</t>
        </is>
      </c>
    </row>
    <row r="34">
      <c r="A34" s="18" t="inlineStr">
        <is>
          <t>RN-01</t>
        </is>
      </c>
      <c r="B34" s="18" t="inlineStr">
        <is>
          <t>Cumplir con la especificación de diseño CubeSat adoptada por el proyecto.</t>
        </is>
      </c>
      <c r="C34" s="18" t="inlineStr">
        <is>
          <t>CubeSat Design Specification Rev. 14.1.</t>
        </is>
      </c>
      <c r="D34" s="18" t="inlineStr">
        <is>
          <t>Alta</t>
        </is>
      </c>
      <c r="E34" s="18" t="inlineStr">
        <is>
          <t>Verificar el diseño mediante la lista de chequeo aplicable de la especificación CubeSat.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65" customWidth="1" min="3" max="3"/>
    <col width="16" customWidth="1" min="4" max="4"/>
    <col width="13" customWidth="1" min="5" max="5"/>
    <col width="65" customWidth="1" min="6" max="6"/>
    <col width="65" customWidth="1" min="7" max="7"/>
  </cols>
  <sheetData>
    <row r="1">
      <c r="A1" s="1" t="inlineStr">
        <is>
          <t>Especificaciones Técnicas y Matriz de Trazabilidad</t>
        </is>
      </c>
    </row>
    <row r="2">
      <c r="A2" s="2" t="inlineStr">
        <is>
          <t>Parámetros técnicos cuantitativos y su derivación directa desde los requisitos</t>
        </is>
      </c>
    </row>
    <row r="3"/>
    <row r="4">
      <c r="A4" s="3" t="inlineStr">
        <is>
          <t>TABLA 5: Matriz de especificaciones técnicas y trazabilidad del CubeSat UD34.</t>
        </is>
      </c>
      <c r="B4" s="4" t="n"/>
      <c r="C4" s="4" t="n"/>
      <c r="D4" s="4" t="n"/>
      <c r="E4" s="4" t="n"/>
      <c r="F4" s="4" t="n"/>
      <c r="G4" s="4" t="n"/>
    </row>
    <row r="5">
      <c r="A5" s="9" t="inlineStr">
        <is>
          <t>ID de especificación</t>
        </is>
      </c>
      <c r="B5" s="9" t="inlineStr">
        <is>
          <t>Requisitos asociados</t>
        </is>
      </c>
      <c r="C5" s="9" t="inlineStr">
        <is>
          <t>Parámetro técnico</t>
        </is>
      </c>
      <c r="D5" s="9" t="inlineStr">
        <is>
          <t>Valor o rango</t>
        </is>
      </c>
      <c r="E5" s="9" t="inlineStr">
        <is>
          <t>Unidad</t>
        </is>
      </c>
      <c r="F5" s="9" t="inlineStr">
        <is>
          <t>Fundamento</t>
        </is>
      </c>
      <c r="G5" s="9" t="inlineStr">
        <is>
          <t>Método previsto de verificación</t>
        </is>
      </c>
    </row>
    <row r="6">
      <c r="A6" s="18" t="inlineStr">
        <is>
          <t>ET-CU-01</t>
        </is>
      </c>
      <c r="B6" s="18" t="inlineStr">
        <is>
          <t>RF-01, RNF-01</t>
        </is>
      </c>
      <c r="C6" s="18" t="inlineStr">
        <is>
          <t>Masa asignada a la carga útil y resolución espacial objetivo</t>
        </is>
      </c>
      <c r="D6" s="18" t="inlineStr">
        <is>
          <t>&lt;150; &lt;15</t>
        </is>
      </c>
      <c r="E6" s="18" t="inlineStr">
        <is>
          <t>g; m/píxel</t>
        </is>
      </c>
      <c r="F6" s="18" t="inlineStr">
        <is>
          <t>Compatibilidad con la integración 1U y con el objetivo preliminar definido para la adquisición de imágenes multiespectrales.</t>
        </is>
      </c>
      <c r="G6" s="18" t="inlineStr">
        <is>
          <t>Inspección física, análisis óptico y prueba en banco.</t>
        </is>
      </c>
    </row>
    <row r="7">
      <c r="A7" s="19" t="inlineStr">
        <is>
          <t>ET-OBC-01</t>
        </is>
      </c>
      <c r="B7" s="19" t="inlineStr">
        <is>
          <t>RF-07, RNF-04, RNF-05</t>
        </is>
      </c>
      <c r="C7" s="19" t="inlineStr">
        <is>
          <t>Frecuencia del procesador de referencia y capacidad de almacenamiento no volátil</t>
        </is>
      </c>
      <c r="D7" s="19" t="inlineStr">
        <is>
          <t>100; 512</t>
        </is>
      </c>
      <c r="E7" s="19" t="inlineStr">
        <is>
          <t>MHz; MB</t>
        </is>
      </c>
      <c r="F7" s="19" t="inlineStr">
        <is>
          <t>Capacidad de procesamiento e interfaces necesarias para coordinar los subsistemas y almacenar temporalmente los datos de misión.</t>
        </is>
      </c>
      <c r="G7" s="19" t="inlineStr">
        <is>
          <t>Prueba funcional, verificación de interfaces y ensayo de lectura/escritura de memoria.</t>
        </is>
      </c>
    </row>
    <row r="8">
      <c r="A8" s="18" t="inlineStr">
        <is>
          <t>ET-EPS-01</t>
        </is>
      </c>
      <c r="B8" s="18" t="inlineStr">
        <is>
          <t>RF-05, RNF-02</t>
        </is>
      </c>
      <c r="C8" s="18" t="inlineStr">
        <is>
          <t>Potencia solar promedio mínima durante iluminación y profundidad de descarga estimada en eclipse</t>
        </is>
      </c>
      <c r="D8" s="18" t="inlineStr">
        <is>
          <t>&gt;3.75; ≈ 5.5</t>
        </is>
      </c>
      <c r="E8" s="18" t="inlineStr">
        <is>
          <t>W; %</t>
        </is>
      </c>
      <c r="F8" s="18" t="inlineStr">
        <is>
          <t>Valores preliminares derivados del balance energético para una órbita de 90 minutos con 55 minutos de iluminación y 35 minutos de eclipse.</t>
        </is>
      </c>
      <c r="G8" s="18" t="inlineStr">
        <is>
          <t>Balance energético, ensayo de potencia y ciclos de carga/descarga.</t>
        </is>
      </c>
    </row>
    <row r="9">
      <c r="A9" s="19" t="inlineStr">
        <is>
          <t>ET-COM-01</t>
        </is>
      </c>
      <c r="B9" s="19" t="inlineStr">
        <is>
          <t>RF-03, RF-08</t>
        </is>
      </c>
      <c r="C9" s="19" t="inlineStr">
        <is>
          <t>Potencia RF y velocidad máxima del enlace UHF de TT&amp;C</t>
        </is>
      </c>
      <c r="D9" s="19" t="inlineStr">
        <is>
          <t>1.0; 38.4</t>
        </is>
      </c>
      <c r="E9" s="19" t="inlineStr">
        <is>
          <t>W; kbps</t>
        </is>
      </c>
      <c r="F9" s="19" t="inlineStr">
        <is>
          <t>Enlace destinado principalmente a telemetría, telecomandos y operación de respaldo.</t>
        </is>
      </c>
      <c r="G9" s="19" t="inlineStr">
        <is>
          <t>Medición de potencia y prueba de enlace RF.</t>
        </is>
      </c>
    </row>
    <row r="10">
      <c r="A10" s="18" t="inlineStr">
        <is>
          <t>ET-COM-02</t>
        </is>
      </c>
      <c r="B10" s="18" t="inlineStr">
        <is>
          <t>RF-03, RF-07</t>
        </is>
      </c>
      <c r="C10" s="18" t="inlineStr">
        <is>
          <t>Velocidad máxima de referencia y tasa mínima requerida para el enlace S-band</t>
        </is>
      </c>
      <c r="D10" s="18" t="inlineStr">
        <is>
          <t>8; 0.46</t>
        </is>
      </c>
      <c r="E10" s="18" t="inlineStr">
        <is>
          <t>Mbps; Mbps</t>
        </is>
      </c>
      <c r="F10" s="18" t="inlineStr">
        <is>
          <t>Enlace destinado principalmente a la descarga de imágenes y datos científicos generados por la carga útil.</t>
        </is>
      </c>
      <c r="G10" s="18" t="inlineStr">
        <is>
          <t>Prueba de enlace, medición de tasa efectiva y simulación de ventana de comunicación.</t>
        </is>
      </c>
    </row>
    <row r="11">
      <c r="A11" s="19" t="inlineStr">
        <is>
          <t>ET-ADCS-01</t>
        </is>
      </c>
      <c r="B11" s="19" t="inlineStr">
        <is>
          <t>RF-04</t>
        </is>
      </c>
      <c r="C11" s="19" t="inlineStr">
        <is>
          <t>Precisión de apuntamiento en tres ejes</t>
        </is>
      </c>
      <c r="D11" s="19" t="inlineStr">
        <is>
          <t>&lt;2.0</t>
        </is>
      </c>
      <c r="E11" s="19" t="inlineStr">
        <is>
          <t>grados</t>
        </is>
      </c>
      <c r="F11" s="19" t="inlineStr">
        <is>
          <t>Alineación de la carga útil hacia la región de interés y apoyo al enlace de comunicaciones.</t>
        </is>
      </c>
      <c r="G11" s="19" t="inlineStr">
        <is>
          <t>Simulación o ensayo de actitud en banco.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65" customWidth="1" min="3" max="3"/>
    <col width="65" customWidth="1" min="4" max="4"/>
    <col width="65" customWidth="1" min="5" max="5"/>
  </cols>
  <sheetData>
    <row r="1">
      <c r="A1" s="1" t="inlineStr">
        <is>
          <t>Distribución Preliminar de Funciones entre Hardware y Software</t>
        </is>
      </c>
    </row>
    <row r="2">
      <c r="A2" s="2" t="inlineStr">
        <is>
          <t>Partición de responsabilidades operativas entre electrónica física y software de vuelo</t>
        </is>
      </c>
    </row>
    <row r="3"/>
    <row r="4">
      <c r="A4" s="3" t="inlineStr">
        <is>
          <t>TABLA 6: Distribución preliminar de funciones entre hardware y software del CubeSat UD34.</t>
        </is>
      </c>
      <c r="B4" s="4" t="n"/>
      <c r="C4" s="4" t="n"/>
      <c r="D4" s="4" t="n"/>
      <c r="E4" s="4" t="n"/>
    </row>
    <row r="5">
      <c r="A5" s="9" t="inlineStr">
        <is>
          <t>p{1.6cm} p{3.0cm} p{3.4cm} X} Función</t>
        </is>
      </c>
      <c r="B5" s="9" t="inlineStr">
        <is>
          <t>Tipo de implementación</t>
        </is>
      </c>
      <c r="C5" s="9" t="inlineStr">
        <is>
          <t>Recursos de hardware necesarios</t>
        </is>
      </c>
      <c r="D5" s="9" t="inlineStr">
        <is>
          <t>Responsabilidad del software futuro</t>
        </is>
      </c>
      <c r="E5" s="9" t="inlineStr">
        <is>
          <t>Justificación</t>
        </is>
      </c>
    </row>
    <row r="6">
      <c r="A6" s="18" t="inlineStr">
        <is>
          <t>Función</t>
        </is>
      </c>
      <c r="B6" s="18" t="inlineStr">
        <is>
          <t>Tipo de implementación</t>
        </is>
      </c>
      <c r="C6" s="18" t="inlineStr">
        <is>
          <t>Recursos de hardware necesarios</t>
        </is>
      </c>
      <c r="D6" s="18" t="inlineStr">
        <is>
          <t>Responsabilidad del software futuro</t>
        </is>
      </c>
      <c r="E6" s="18" t="inlineStr">
        <is>
          <t>Justificación</t>
        </is>
      </c>
    </row>
    <row r="7">
      <c r="A7" s="19" t="inlineStr">
        <is>
          <t>Adquisición de imágenes multiespectrales</t>
        </is>
      </c>
      <c r="B7" s="19" t="inlineStr">
        <is>
          <t>Mixta</t>
        </is>
      </c>
      <c r="C7" s="19" t="inlineStr">
        <is>
          <t>Cámara multiespectral, interfaz de adquisición de datos, líneas de sincronización y memoria temporal.</t>
        </is>
      </c>
      <c r="D7" s="19" t="inlineStr">
        <is>
          <t>Configurar la adquisición, iniciar las capturas según el plan de misión, recibir los datos, verificar su integridad y asociar metadatos a cada imagen.</t>
        </is>
      </c>
      <c r="E7" s="19" t="inlineStr">
        <is>
          <t>La formación y digitalización de la imagen dependen del hardware de la carga útil, mientras que el momento de captura y la administración de los datos requieren control programable.</t>
        </is>
      </c>
    </row>
    <row r="8">
      <c r="A8" s="18" t="inlineStr">
        <is>
          <t>Almacena- miento de imágenes y telemetría</t>
        </is>
      </c>
      <c r="B8" s="18" t="inlineStr">
        <is>
          <t>Mixta</t>
        </is>
      </c>
      <c r="C8" s="18" t="inlineStr">
        <is>
          <t>Memoria Flash no volátil, interfaz QSPI o equivalente y recursos de transferencia del microcontrolador.</t>
        </is>
      </c>
      <c r="D8" s="18" t="inlineStr">
        <is>
          <t>Organizar los datos almacenados, administrar búferes, verificar integridad, controlar prioridades de escritura y decidir qué información debe conservarse o transmitirse primero.</t>
        </is>
      </c>
      <c r="E8" s="18" t="inlineStr">
        <is>
          <t>La memoria y la transferencia eléctrica son funciones de hardware, pero la administración de los datos depende de las condiciones de operación de la misión.</t>
        </is>
      </c>
    </row>
    <row r="9">
      <c r="A9" s="19" t="inlineStr">
        <is>
          <t>Gestión de modos de operación</t>
        </is>
      </c>
      <c r="B9" s="19" t="inlineStr">
        <is>
          <t>Software con soporte de hardware</t>
        </is>
      </c>
      <c r="C9" s="19" t="inlineStr">
        <is>
          <t>Microcontrolador del OBC, temporizadores, RTC, señales de estado de los subsistemas y watchdog.</t>
        </is>
      </c>
      <c r="D9" s="19" t="inlineStr">
        <is>
          <t>Implementar la máquina de estados del satélite, incluyendo modos de operación nominal, adquisición, transmisión, eclipse y modo seguro.</t>
        </is>
      </c>
      <c r="E9" s="19" t="inlineStr">
        <is>
          <t>Los cambios entre modos dependen de múltiples variables y deben poder modificarse durante el desarrollo sin rediseñar el hardware.</t>
        </is>
      </c>
    </row>
    <row r="10">
      <c r="A10" s="18" t="inlineStr">
        <is>
          <t>Supervisión y recuperación ante fallas</t>
        </is>
      </c>
      <c r="B10" s="18" t="inlineStr">
        <is>
          <t>Mixta</t>
        </is>
      </c>
      <c r="C10" s="18" t="inlineStr">
        <is>
          <t>Watchdog independiente, detector de bajo voltaje, reset y protecciones eléctricas del EPS.</t>
        </is>
      </c>
      <c r="D10" s="18" t="inlineStr">
        <is>
          <t>Supervisar estados de error, registrar eventos, reiniciar tareas cuando sea necesario y ordenar la entrada al modo seguro ante condiciones anómalas.</t>
        </is>
      </c>
      <c r="E10" s="18" t="inlineStr">
        <is>
          <t>Las protecciones críticas deben poder actuar aun cuando el procesador falle, mientras que el diagnóstico y la recuperación de alto nivel requieren software.</t>
        </is>
      </c>
    </row>
    <row r="11">
      <c r="A11" s="19" t="inlineStr">
        <is>
          <t>Generación, regulación y distribución de energía</t>
        </is>
      </c>
      <c r="B11" s="19" t="inlineStr">
        <is>
          <t>Hardware</t>
        </is>
      </c>
      <c r="C11" s="19" t="inlineStr">
        <is>
          <t>Paneles solares, convertidores de potencia, etapa MPPT, batería recargable, BMS, reguladores de 3.3 V y 5 V e interruptores de carga.</t>
        </is>
      </c>
      <c r="D11" s="19" t="inlineStr">
        <is>
          <t>Consultar el estado del sistema energético y habilitar o deshabilitar cargas no críticas según el modo de operación.</t>
        </is>
      </c>
      <c r="E11" s="19" t="inlineStr">
        <is>
          <t>La conversión y las protecciones eléctricas deben funcionar independientemente del OBC para evitar daños por una falla de software.</t>
        </is>
      </c>
    </row>
    <row r="12">
      <c r="A12" s="18" t="inlineStr">
        <is>
          <t>Monitoreo del sistema de potencia</t>
        </is>
      </c>
      <c r="B12" s="18" t="inlineStr">
        <is>
          <t>Mixta</t>
        </is>
      </c>
      <c r="C12" s="18" t="inlineStr">
        <is>
          <t>Sensores de corriente, voltaje y temperatura, ADC e interfaces de comunicación con el OBC.</t>
        </is>
      </c>
      <c r="D12" s="18" t="inlineStr">
        <is>
          <t>Leer las mediciones, estimar el estado energético, generar telemetría y determinar cuándo debe reducirse el consumo del satélite.</t>
        </is>
      </c>
      <c r="E12" s="18" t="inlineStr">
        <is>
          <t>Las variables eléctricas se adquieren físicamente mediante sensores, pero su interpretación y uso en la gestión de energía requieren procesamiento.</t>
        </is>
      </c>
    </row>
    <row r="13">
      <c r="A13" s="19" t="inlineStr">
        <is>
          <t>Comunicación con la estación terrestre</t>
        </is>
      </c>
      <c r="B13" s="19" t="inlineStr">
        <is>
          <t>Mixta</t>
        </is>
      </c>
      <c r="C13" s="19" t="inlineStr">
        <is>
          <t>Transceptor UHF, transmisor S-band, etapas de RF, filtros, adaptación de impedancias y antenas correspondientes.</t>
        </is>
      </c>
      <c r="D13" s="19" t="inlineStr">
        <is>
          <t>Construir y procesar tramas de telemetría y telecomandos, administrar la información científica para descarga, verificar la integridad de los paquetes y ejecutar comandos válidos.</t>
        </is>
      </c>
      <c r="E13" s="19" t="inlineStr">
        <is>
          <t>La generación y recepción de las señales de radiofrecuencia corresponden al hardware, mientras que la organización de la telemetría, los telecomandos y los datos científicos requiere software.</t>
        </is>
      </c>
    </row>
    <row r="14">
      <c r="A14" s="18" t="inlineStr">
        <is>
          <t>Determinación de actitud</t>
        </is>
      </c>
      <c r="B14" s="18" t="inlineStr">
        <is>
          <t>Mixta</t>
        </is>
      </c>
      <c r="C14" s="18" t="inlineStr">
        <is>
          <t>IMU, magnetómetro, sensores solares, convertidores e interfaces digitales hacia el OBC.</t>
        </is>
      </c>
      <c r="D14" s="18" t="inlineStr">
        <is>
          <t>Adquirir y combinar las mediciones de los sensores, aplicar calibraciones y estimar la orientación del satélite.</t>
        </is>
      </c>
      <c r="E14" s="18" t="inlineStr">
        <is>
          <t>Los sensores proporcionan mediciones físicas, pero la estimación de actitud requiere procesamiento matemático sobre varios datos simultáneamente.</t>
        </is>
      </c>
    </row>
    <row r="15">
      <c r="A15" s="19" t="inlineStr">
        <is>
          <t>Control de actitud</t>
        </is>
      </c>
      <c r="B15" s="19" t="inlineStr">
        <is>
          <t>Mixta</t>
        </is>
      </c>
      <c r="C15" s="19" t="inlineStr">
        <is>
          <t>Ruedas de reacción, magnetorquers, etapas de potencia, drivers y señales de control hacia los actuadores.</t>
        </is>
      </c>
      <c r="D15" s="19" t="inlineStr">
        <is>
          <t>Calcular la acción de control requerida y generar las consignas necesarias para orientar el CubeSat, además de administrar el detumbling y la descarga de momento de las ruedas.</t>
        </is>
      </c>
      <c r="E15" s="19" t="inlineStr">
        <is>
          <t>El software determina la acción de control, mientras que los actuadores y sus etapas de potencia realizan físicamente la modificación de la actitud del satélite.</t>
        </is>
      </c>
    </row>
    <row r="16">
      <c r="A16" s="18" t="inlineStr">
        <is>
          <t>Generación de telemetría de estado</t>
        </is>
      </c>
      <c r="B16" s="18" t="inlineStr">
        <is>
          <t>Software con adquisición por hardware</t>
        </is>
      </c>
      <c r="C16" s="18" t="inlineStr">
        <is>
          <t>Sensores distribuidos en EPS, OBC, COMMS, ADCS y carga útil, junto con ADC e interfaces digitales.</t>
        </is>
      </c>
      <c r="D16" s="18" t="inlineStr">
        <is>
          <t>Recopilar periódicamente voltajes, corrientes, temperaturas y estados de los subsistemas, empaquetándolos para almacenamiento y transmisión.</t>
        </is>
      </c>
      <c r="E16" s="18" t="inlineStr">
        <is>
          <t>La medición depende del hardware de sensado, pero la selección, organización y transmisión de la información se realiza mediante software.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19" customWidth="1" min="3" max="3"/>
    <col width="19" customWidth="1" min="4" max="4"/>
    <col width="26" customWidth="1" min="5" max="5"/>
    <col width="26" customWidth="1" min="6" max="6"/>
    <col width="65" customWidth="1" min="7" max="7"/>
  </cols>
  <sheetData>
    <row r="1">
      <c r="A1" s="1" t="inlineStr">
        <is>
          <t>Matriz Comparativa Cuantitativa de Arquitecturas</t>
        </is>
      </c>
    </row>
    <row r="2">
      <c r="A2" s="2" t="inlineStr">
        <is>
          <t>Evaluación ponderada: Alternativa A (4 PCBs) vs Alternativa B (2 PCBs)</t>
        </is>
      </c>
    </row>
    <row r="3"/>
    <row r="4">
      <c r="A4" s="3" t="inlineStr">
        <is>
          <t>TABLA 7: Matriz comparativa cuantitativa entre alternativas de arquitectura para el UD34.</t>
        </is>
      </c>
      <c r="B4" s="4" t="n"/>
      <c r="C4" s="4" t="n"/>
      <c r="D4" s="4" t="n"/>
      <c r="E4" s="4" t="n"/>
      <c r="F4" s="4" t="n"/>
      <c r="G4" s="4" t="n"/>
    </row>
    <row r="5">
      <c r="A5" s="9" t="inlineStr">
        <is>
          <t>Criterio</t>
        </is>
      </c>
      <c r="B5" s="9" t="inlineStr">
        <is>
          <t>Peso (%)</t>
        </is>
      </c>
      <c r="C5" s="9" t="inlineStr">
        <is>
          <t>Nota Alt A (1-5)</t>
        </is>
      </c>
      <c r="D5" s="9" t="inlineStr">
        <is>
          <t>Nota Alt B (1-5)</t>
        </is>
      </c>
      <c r="E5" s="9" t="inlineStr">
        <is>
          <t>Puntaje Ponderado Alt A</t>
        </is>
      </c>
      <c r="F5" s="9" t="inlineStr">
        <is>
          <t>Puntaje Ponderado Alt B</t>
        </is>
      </c>
      <c r="G5" s="9" t="inlineStr">
        <is>
          <t>Justificación de la Valoración</t>
        </is>
      </c>
    </row>
    <row r="6">
      <c r="A6" s="19" t="inlineStr">
        <is>
          <t>Modulabilidad y mantenibilidad</t>
        </is>
      </c>
      <c r="B6" s="20" t="n">
        <v>0.25</v>
      </c>
      <c r="C6" s="21" t="n">
        <v>5</v>
      </c>
      <c r="D6" s="21" t="n">
        <v>2</v>
      </c>
      <c r="E6" s="22">
        <f>B6*C6</f>
        <v/>
      </c>
      <c r="F6" s="22">
        <f>B6*D6</f>
        <v/>
      </c>
      <c r="G6" s="19" t="inlineStr">
        <is>
          <t>La Alt. A permite reemplazar o reparar una PCB dañada sin afectar los demás subsistemas.</t>
        </is>
      </c>
    </row>
    <row r="7">
      <c r="A7" s="19" t="inlineStr">
        <is>
          <t>Desacoplamiento de fallas térmicas/eléctricas</t>
        </is>
      </c>
      <c r="B7" s="20" t="n">
        <v>0.25</v>
      </c>
      <c r="C7" s="21" t="n">
        <v>4.5</v>
      </c>
      <c r="D7" s="21" t="n">
        <v>2</v>
      </c>
      <c r="E7" s="22">
        <f>B7*C7</f>
        <v/>
      </c>
      <c r="F7" s="22">
        <f>B7*D7</f>
        <v/>
      </c>
      <c r="G7" s="19" t="inlineStr">
        <is>
          <t>Aislar la etapa RF y el EPS del OBC en la Alt. A previene interferencias y puntos de falla comunes.</t>
        </is>
      </c>
    </row>
    <row r="8">
      <c r="A8" s="19" t="inlineStr">
        <is>
          <t>Densidad de enrutamiento y complejidad de PCB</t>
        </is>
      </c>
      <c r="B8" s="20" t="n">
        <v>0.2</v>
      </c>
      <c r="C8" s="21" t="n">
        <v>4</v>
      </c>
      <c r="D8" s="21" t="n">
        <v>2.5</v>
      </c>
      <c r="E8" s="22">
        <f>B8*C8</f>
        <v/>
      </c>
      <c r="F8" s="22">
        <f>B8*D8</f>
        <v/>
      </c>
      <c r="G8" s="19" t="inlineStr">
        <is>
          <t>Placas de 4 capas estándar en Alt. A versus diseños complejos de 8 capas con vías ciegas en Alt. B.</t>
        </is>
      </c>
    </row>
    <row r="9">
      <c r="A9" s="19" t="inlineStr">
        <is>
          <t>Flexibilidad en pruebas AIT (Assembly, Integration &amp; Testing)</t>
        </is>
      </c>
      <c r="B9" s="20" t="n">
        <v>0.2</v>
      </c>
      <c r="C9" s="21" t="n">
        <v>5</v>
      </c>
      <c r="D9" s="21" t="n">
        <v>2</v>
      </c>
      <c r="E9" s="22">
        <f>B9*C9</f>
        <v/>
      </c>
      <c r="F9" s="22">
        <f>B9*D9</f>
        <v/>
      </c>
      <c r="G9" s="19" t="inlineStr">
        <is>
          <t>La Alt. A posibilita la verificación funcional paralela e independiente de cada subsistema.</t>
        </is>
      </c>
    </row>
    <row r="10">
      <c r="A10" s="19" t="inlineStr">
        <is>
          <t>Costo y consumo de masa/volumen</t>
        </is>
      </c>
      <c r="B10" s="20" t="n">
        <v>0.1</v>
      </c>
      <c r="C10" s="21" t="n">
        <v>3</v>
      </c>
      <c r="D10" s="21" t="n">
        <v>4.5</v>
      </c>
      <c r="E10" s="22">
        <f>B10*C10</f>
        <v/>
      </c>
      <c r="F10" s="22">
        <f>B10*D10</f>
        <v/>
      </c>
      <c r="G10" s="19" t="inlineStr">
        <is>
          <t>La Alt. B ahorra masa de conectores, pero incrementa significativamente el riesgo de re-diseño.</t>
        </is>
      </c>
    </row>
    <row r="11">
      <c r="A11" s="23" t="inlineStr">
        <is>
          <t>PUNTUACIÓN PONDERADA TOTAL</t>
        </is>
      </c>
      <c r="B11" s="24">
        <f>SUM(B6:B10)</f>
        <v/>
      </c>
      <c r="C11" s="25" t="inlineStr">
        <is>
          <t>--</t>
        </is>
      </c>
      <c r="D11" s="25" t="inlineStr">
        <is>
          <t>--</t>
        </is>
      </c>
      <c r="E11" s="26">
        <f>SUM(E6:E10)</f>
        <v/>
      </c>
      <c r="F11" s="26">
        <f>SUM(F6:F10)</f>
        <v/>
      </c>
      <c r="G11" s="23" t="inlineStr">
        <is>
          <t>SELECCIÓN DEFINITIVA: Alternativa A (4 PCBs apiladas en Bus PC-104)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5" customWidth="1" min="3" max="3"/>
    <col width="65" customWidth="1" min="4" max="4"/>
    <col width="65" customWidth="1" min="5" max="5"/>
  </cols>
  <sheetData>
    <row r="1">
      <c r="A1" s="1" t="inlineStr">
        <is>
          <t>División en PCBs y Componentes Críticos de Referencia</t>
        </is>
      </c>
    </row>
    <row r="2">
      <c r="A2" s="2" t="inlineStr">
        <is>
          <t>Estructura física en 4 tarjetas apiladas y selección preliminar de hardware espacial</t>
        </is>
      </c>
    </row>
    <row r="3"/>
    <row r="4">
      <c r="A4" s="3" t="inlineStr">
        <is>
          <t>TABLA 8: División funcional propuesta de la arquitectura electrónica del CubeSat UD34.</t>
        </is>
      </c>
      <c r="B4" s="4" t="n"/>
      <c r="C4" s="4" t="n"/>
      <c r="D4" s="4" t="n"/>
      <c r="E4" s="4" t="n"/>
    </row>
    <row r="5">
      <c r="A5" s="9" t="inlineStr">
        <is>
          <t>p{2.0cm} p{3.5cm} p{3.5cm} X} PCB</t>
        </is>
      </c>
      <c r="B5" s="9" t="inlineStr">
        <is>
          <t>Subsistema</t>
        </is>
      </c>
      <c r="C5" s="9" t="inlineStr">
        <is>
          <t>Funciones principales</t>
        </is>
      </c>
      <c r="D5" s="9" t="inlineStr">
        <is>
          <t>Recursos electrónicos principales</t>
        </is>
      </c>
      <c r="E5" s="9" t="inlineStr">
        <is>
          <t>Conexiones relevantes</t>
        </is>
      </c>
    </row>
    <row r="6">
      <c r="A6" s="18" t="inlineStr">
        <is>
          <t>PCB</t>
        </is>
      </c>
      <c r="B6" s="18" t="inlineStr">
        <is>
          <t>Subsistema</t>
        </is>
      </c>
      <c r="C6" s="18" t="inlineStr">
        <is>
          <t>Funciones principales</t>
        </is>
      </c>
      <c r="D6" s="18" t="inlineStr">
        <is>
          <t>Recursos electrónicos principales</t>
        </is>
      </c>
      <c r="E6" s="18" t="inlineStr">
        <is>
          <t>Conexiones relevantes</t>
        </is>
      </c>
    </row>
    <row r="7">
      <c r="A7" s="19" t="inlineStr">
        <is>
          <t>PCB 1</t>
        </is>
      </c>
      <c r="B7" s="19" t="inlineStr">
        <is>
          <t>EPS</t>
        </is>
      </c>
      <c r="C7" s="19" t="inlineStr">
        <is>
          <t>Recibir la energía de los paneles solares, gestionar la batería, regular los rieles de alimentación y distribuir potencia protegida hacia los demás subsistemas.</t>
        </is>
      </c>
      <c r="D7" s="19" t="inlineStr">
        <is>
          <t>Etapas de conversión de potencia, gestión de batería, protecciones eléctricas y sensores de voltaje, corriente y temperatura.</t>
        </is>
      </c>
      <c r="E7" s="19" t="inlineStr">
        <is>
          <t>Paneles solares, batería, OBC, COMMS y ADCS.</t>
        </is>
      </c>
    </row>
    <row r="8">
      <c r="A8" s="18" t="inlineStr">
        <is>
          <t>PCB 2</t>
        </is>
      </c>
      <c r="B8" s="18" t="inlineStr">
        <is>
          <t>OBC</t>
        </is>
      </c>
      <c r="C8" s="18" t="inlineStr">
        <is>
          <t>Coordinar la operación del CubeSat, administrar los modos de funcionamiento, recibir los datos de la carga útil y los subsistemas, gestionar el almacenamiento y organizar la telemetría y los telecomandos.</t>
        </is>
      </c>
      <c r="D8" s="18" t="inlineStr">
        <is>
          <t>Microcontrolador ARM Cortex-M4, memoria no volátil, memoria de trabajo, temporización y watchdog.</t>
        </is>
      </c>
      <c r="E8" s="18" t="inlineStr">
        <is>
          <t>Cámara multiespectral, EPS, COMMS, ADCS y memoria de almacenamiento.</t>
        </is>
      </c>
    </row>
    <row r="9">
      <c r="A9" s="19" t="inlineStr">
        <is>
          <t>PCB 3</t>
        </is>
      </c>
      <c r="B9" s="19" t="inlineStr">
        <is>
          <t>COMMS</t>
        </is>
      </c>
      <c r="C9" s="19" t="inlineStr">
        <is>
          <t>Realizar la transmisión y recepción del enlace con la estación terrestre y acondicionar las señales de radiofrecuencia.</t>
        </is>
      </c>
      <c r="D9" s="19" t="inlineStr">
        <is>
          <t>Transceptor, etapa de RF, amplificación de potencia, filtrado y adaptación hacia la antena.</t>
        </is>
      </c>
      <c r="E9" s="19" t="inlineStr">
        <is>
          <t>OBC, EPS y antena.</t>
        </is>
      </c>
    </row>
    <row r="10">
      <c r="A10" s="18" t="inlineStr">
        <is>
          <t>PCB 4</t>
        </is>
      </c>
      <c r="B10" s="18" t="inlineStr">
        <is>
          <t>ADCS</t>
        </is>
      </c>
      <c r="C10" s="18" t="inlineStr">
        <is>
          <t>Adquirir las variables asociadas a la orientación y accionar las etapas de potencia de los actuadores de actitud.</t>
        </is>
      </c>
      <c r="D10" s="18" t="inlineStr">
        <is>
          <t>Interfaces para IMU y sensores solares, generación de PWM y etapas de potencia para los magnetorquers.</t>
        </is>
      </c>
      <c r="E10" s="18" t="inlineStr">
        <is>
          <t>OBC, EPS, sensores de orientación y magnetorquers.</t>
        </is>
      </c>
    </row>
    <row r="11"/>
    <row r="12">
      <c r="A12" s="3" t="inlineStr">
        <is>
          <t>TABLA 9: Componentes críticos de referencia para la arquitectura preliminar del CubeSat UD34.</t>
        </is>
      </c>
      <c r="B12" s="4" t="n"/>
      <c r="C12" s="4" t="n"/>
      <c r="D12" s="4" t="n"/>
    </row>
    <row r="13">
      <c r="A13" s="9" t="inlineStr">
        <is>
          <t>p{3.0cm} p{4.0cm} X} Subsistema</t>
        </is>
      </c>
      <c r="B13" s="9" t="inlineStr">
        <is>
          <t>Componente de referencia</t>
        </is>
      </c>
      <c r="C13" s="9" t="inlineStr">
        <is>
          <t>Características relevantes</t>
        </is>
      </c>
      <c r="D13" s="9" t="inlineStr">
        <is>
          <t>Justificación preliminar</t>
        </is>
      </c>
    </row>
    <row r="14">
      <c r="A14" s="18" t="inlineStr">
        <is>
          <t>Subsistema</t>
        </is>
      </c>
      <c r="B14" s="18" t="inlineStr">
        <is>
          <t>Componente de referencia</t>
        </is>
      </c>
      <c r="C14" s="18" t="inlineStr">
        <is>
          <t>Características relevantes</t>
        </is>
      </c>
      <c r="D14" s="18" t="inlineStr">
        <is>
          <t>Justificación preliminar</t>
        </is>
      </c>
    </row>
    <row r="15">
      <c r="A15" s="19" t="inlineStr">
        <is>
          <t>Carga útil</t>
        </is>
      </c>
      <c r="B15" s="19" t="inlineStr">
        <is>
          <t>Teledyne e2v Emerald Gen2 12M USV</t>
        </is>
      </c>
      <c r="C15" s="19" t="inlineStr">
        <is>
          <t>Sensor CMOS de 4096 x 3072 píxeles, profundidad de 8/10/12 bits, obturador global, interfaces LVDS y MIPI CSI-2, configuración mediante SPI/I2C y consumo inferior a 1.2 W.</t>
        </is>
      </c>
      <c r="D15" s="19" t="inlineStr">
        <is>
          <t>Sensor compacto con versión preparada para aplicaciones espaciales. Permite desarrollar una carga útil propia compatible con el reducido volumen disponible en un CubeSat 1U. La óptica y los filtros multiespectrales permanecen por definir.</t>
        </is>
      </c>
    </row>
    <row r="16">
      <c r="A16" s="18" t="inlineStr">
        <is>
          <t>OBC</t>
        </is>
      </c>
      <c r="B16" s="18" t="inlineStr">
        <is>
          <t>Microchip SAMRH71</t>
        </is>
      </c>
      <c r="C16" s="18" t="inlineStr">
        <is>
          <t>Microcontrolador rad-hard ARM Cortex-M7 de hasta 100 MHz, memoria con ECC, interfaces SPI, QSPI, I2C, CAN-FD y SpaceWire. Rango de operación de -55 °C a +125 °C y tolerancia TID de 100 krad(Si).</t>
        </is>
      </c>
      <c r="D16" s="18" t="inlineStr">
        <is>
          <t>Proporciona capacidad de procesamiento e interfaces suficientes para coordinar los subsistemas y presenta características específicamente orientadas a aplicaciones aeroespaciales.</t>
        </is>
      </c>
    </row>
    <row r="17">
      <c r="A17" s="19" t="inlineStr">
        <is>
          <t>Almacena- miento</t>
        </is>
      </c>
      <c r="B17" s="19" t="inlineStr">
        <is>
          <t>Infineon CYRS17B01G-133UZMB</t>
        </is>
      </c>
      <c r="C17" s="19" t="inlineStr">
        <is>
          <t>Memoria NOR Flash rad-hard de 1 Gbit (128 MB) por dispositivo, interfaz QSPI, frecuencia de hasta 133 MHz, operación a 3.3 V y tolerancia TID superior a 300 krad.</t>
        </is>
      </c>
      <c r="D17" s="19" t="inlineStr">
        <is>
          <t>Permite disponer de almacenamiento no volátil resistente a radiación. La cantidad definitiva de dispositivos se determinará mediante el presupuesto de datos de la misión.</t>
        </is>
      </c>
    </row>
    <row r="18">
      <c r="A18" s="18" t="inlineStr">
        <is>
          <t>EPS y batería</t>
        </is>
      </c>
      <c r="B18" s="18" t="inlineStr">
        <is>
          <t>ISISPACE ICEPS2 Type A</t>
        </is>
      </c>
      <c r="C18" s="18" t="inlineStr">
        <is>
          <t>Sistema de potencia para CubeSat con batería Li-ion integrada de dos celdas, acondicionamiento de potencia, distribución, protecciones, telemetría e interfaz I2C. Dimensiones aproximadas de 96 x 92 x 26.5 mm y masa aproximada de 184 g.</t>
        </is>
      </c>
      <c r="D18" s="18" t="inlineStr">
        <is>
          <t>Permite utilizar una referencia real para determinar las líneas de alimentación, capacidad energética, interfaces de supervisión y volumen ocupado por el EPS.</t>
        </is>
      </c>
    </row>
    <row r="19">
      <c r="A19" s="19" t="inlineStr">
        <is>
          <t>Generación solar</t>
        </is>
      </c>
      <c r="B19" s="19" t="inlineStr">
        <is>
          <t>AZUR SPACE 3G30A-Advanced</t>
        </is>
      </c>
      <c r="C19" s="19" t="inlineStr">
        <is>
          <t>Celda solar espacial de triple unión InGaP/GaAs/Ge. Dimensiones aproximadas de 40.15 x 80.15 mm, masa cercana a 3.6 g, V_{mp} aproximado de 2.41 V e I_{mp} aproximado de 0.50 A en condiciones BOL.</t>
        </is>
      </c>
      <c r="D19" s="19" t="inlineStr">
        <is>
          <t>Tecnología calificada para aplicaciones espaciales y con alta eficiencia. La cantidad y distribución definitiva de celdas dependerá del área externa disponible y del balance energético orbital.</t>
        </is>
      </c>
    </row>
    <row r="20">
      <c r="A20" s="18" t="inlineStr">
        <is>
          <t>COMMS -- TT&amp;C</t>
        </is>
      </c>
      <c r="B20" s="18" t="inlineStr">
        <is>
          <t>GomSpace NanoCom AX100</t>
        </is>
      </c>
      <c r="C20" s="18" t="inlineStr">
        <is>
          <t>Transceptor UHF configurable con potencia RF ajustable entre 24 y 30 dBm e interfaces I2C, UART y CAN. Dimensiones aproximadas de 65 x 40 x 6.5 mm y masa de 24.5 g.</t>
        </is>
      </c>
      <c r="D20" s="18" t="inlineStr">
        <is>
          <t>Adecuado para telemetría, telecomandos y enlace de respaldo debido a su reducido tamaño y a sus interfaces compatibles con sistemas CubeSat.</t>
        </is>
      </c>
    </row>
    <row r="21">
      <c r="A21" s="19" t="inlineStr">
        <is>
          <t>Antena UHF</t>
        </is>
      </c>
      <c r="B21" s="19" t="inlineStr">
        <is>
          <t>ISISPACE VHF/UHF Antenna 1U--3U</t>
        </is>
      </c>
      <c r="C21" s="19" t="inlineStr">
        <is>
          <t>Antena desplegable para CubeSat, rango aproximado de 145 a 868 MHz, masa inferior a 90 g, dimensiones plegada de 98 x 98 x 7 mm e interfaz I2C para despliegue.</t>
        </is>
      </c>
      <c r="D21" s="19" t="inlineStr">
        <is>
          <t>Compatible con el enlace UHF de telemetría y telecomando y diseñada específicamente para plataformas CubeSat.</t>
        </is>
      </c>
    </row>
    <row r="22">
      <c r="A22" s="18" t="inlineStr">
        <is>
          <t>COMMS -- Payload</t>
        </is>
      </c>
      <c r="B22" s="18" t="inlineStr">
        <is>
          <t>AAC Clyde Space PULSAR-HSTX-C</t>
        </is>
      </c>
      <c r="C22" s="18" t="inlineStr">
        <is>
          <t>Transmisor S-band comercial entre 2.2 y 2.3 GHz, modulación QPSK/OQPSK, tasa máxima de transmisión de 8 Mbps, potencia RF ajustable hasta 1 W y consumo total inferior a 5 W.</t>
        </is>
      </c>
      <c r="D22" s="18" t="inlineStr">
        <is>
          <t>Permite descargar imágenes a una tasa considerablemente mayor que el enlace UHF, evitando que la transmisión del payload sea el principal cuello de botella de la misión.</t>
        </is>
      </c>
    </row>
    <row r="23">
      <c r="A23" s="19" t="inlineStr">
        <is>
          <t>Antena S-band</t>
        </is>
      </c>
      <c r="B23" s="19" t="inlineStr">
        <is>
          <t>AAC Clyde Space PULSAR-SANTC</t>
        </is>
      </c>
      <c r="C23" s="19" t="inlineStr">
        <is>
          <t>Antena patch para 2.2--2.3 GHz, ganancia aproximada de 7 dBi, haz de aproximadamente 60 grados, masa inferior a 50 g y diseño orientado hacia nadir.</t>
        </is>
      </c>
      <c r="D23" s="19" t="inlineStr">
        <is>
          <t>Complementa el transmisor S-band y permite establecer un enlace de alta velocidad con la estación terrestre durante las ventanas de visibilidad.</t>
        </is>
      </c>
    </row>
    <row r="24">
      <c r="A24" s="18" t="inlineStr">
        <is>
          <t>Sensado ADCS</t>
        </is>
      </c>
      <c r="B24" s="18" t="inlineStr">
        <is>
          <t>AAC Clyde Space MM200, PG400 y SS200</t>
        </is>
      </c>
      <c r="C24" s="18" t="inlineStr">
        <is>
          <t>Magnetómetro MM200 mediante I2C, giróscopo PG400 mediante RS-422 y sensores solares SS200 mediante I2C. Los dispositivos cuentan con características de tolerancia ambiental y antecedentes de vuelo.</t>
        </is>
      </c>
      <c r="D24" s="18" t="inlineStr">
        <is>
          <t>La combinación proporciona referencias independientes del campo magnético, velocidad angular y dirección solar para la estimación de actitud. La cantidad definitiva de sensores solares permanece por definir.</t>
        </is>
      </c>
    </row>
    <row r="25">
      <c r="A25" s="19" t="inlineStr">
        <is>
          <t>Actuación ADCS</t>
        </is>
      </c>
      <c r="B25" s="19" t="inlineStr">
        <is>
          <t>3 x AAC Clyde Space RW210</t>
        </is>
      </c>
      <c r="C25" s="19" t="inlineStr">
        <is>
          <t>Ruedas de reacción compactas de 25 x 25 x 15 mm, interfaz I2C, torque máximo aproximado de 0.1 mN·m y consumo pico inferior a 800 mW por unidad.</t>
        </is>
      </c>
      <c r="D25" s="19" t="inlineStr">
        <is>
          <t>Tres ruedas permiten efectuar control activo de actitud alrededor de los tres ejes principales. La variante de almacenamiento de momento se seleccionará después de estimar la inercia del CubeSat.</t>
        </is>
      </c>
    </row>
    <row r="26">
      <c r="A26" s="18" t="inlineStr">
        <is>
          <t>Desaturación y detumbling</t>
        </is>
      </c>
      <c r="B26" s="18" t="inlineStr">
        <is>
          <t>3 x CubeSpace CubeTorquer CR0002</t>
        </is>
      </c>
      <c r="C26" s="18" t="inlineStr">
        <is>
          <t>Magnetorquer de 0.20 A·m^2 a 5 V, masa aproximada de 16.5 g y dimensiones de 10.5 x 10.5 x 47 mm por unidad.</t>
        </is>
      </c>
      <c r="D26" s="18" t="inlineStr">
        <is>
          <t>Permite realizar detumbling después del despliegue y descargar el momento acumulado por las ruedas de reacción utilizando el campo magnético terrestre.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2" customWidth="1" min="2" max="2"/>
    <col width="2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>
      <c r="A1" s="1" t="inlineStr">
        <is>
          <t>Matriz Preliminar de Interfaces del CubeSat UD34</t>
        </is>
      </c>
    </row>
    <row r="2">
      <c r="A2" s="2" t="inlineStr">
        <is>
          <t>Definición detallada de interconexiones físicas, protocolos y niveles eléctricos (IF-01 a IF-17)</t>
        </is>
      </c>
    </row>
    <row r="3"/>
    <row r="4">
      <c r="A4" s="3" t="inlineStr">
        <is>
          <t>TABLA 10: Matriz preliminar de interfaces del CubeSat UD34.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9" t="inlineStr">
        <is>
          <t>p{1.15cm} p{1.15cm} X p{1.9cm} p{2.5cm} p{1.7cm} p{2.2cm}} ID</t>
        </is>
      </c>
      <c r="B5" s="9" t="inlineStr">
        <is>
          <t>Origen</t>
        </is>
      </c>
      <c r="C5" s="9" t="inlineStr">
        <is>
          <t>Destino</t>
        </is>
      </c>
      <c r="D5" s="9" t="inlineStr">
        <is>
          <t>Función</t>
        </is>
      </c>
      <c r="E5" s="9" t="inlineStr">
        <is>
          <t>Señal o protocolo</t>
        </is>
      </c>
      <c r="F5" s="9" t="inlineStr">
        <is>
          <t>Características eléctricas preliminares</t>
        </is>
      </c>
      <c r="G5" s="9" t="inlineStr">
        <is>
          <t>Tasa o volumen de datos</t>
        </is>
      </c>
      <c r="H5" s="9" t="inlineStr">
        <is>
          <t>Observaciones</t>
        </is>
      </c>
    </row>
    <row r="6">
      <c r="A6" s="18" t="inlineStr">
        <is>
          <t>ID</t>
        </is>
      </c>
      <c r="B6" s="18" t="inlineStr">
        <is>
          <t>Origen</t>
        </is>
      </c>
      <c r="C6" s="18" t="inlineStr">
        <is>
          <t>Destino</t>
        </is>
      </c>
      <c r="D6" s="18" t="inlineStr">
        <is>
          <t>Función</t>
        </is>
      </c>
      <c r="E6" s="18" t="inlineStr">
        <is>
          <t>Señal o protocolo</t>
        </is>
      </c>
      <c r="F6" s="18" t="inlineStr">
        <is>
          <t>Características eléctricas preliminares</t>
        </is>
      </c>
      <c r="G6" s="18" t="inlineStr">
        <is>
          <t>Tasa o volumen de datos</t>
        </is>
      </c>
      <c r="H6" s="18" t="inlineStr">
        <is>
          <t>Observaciones</t>
        </is>
      </c>
    </row>
    <row r="7">
      <c r="A7" s="19" t="inlineStr">
        <is>
          <t>IF-01</t>
        </is>
      </c>
      <c r="B7" s="19" t="inlineStr">
        <is>
          <t>Emerald 12M USV</t>
        </is>
      </c>
      <c r="C7" s="19" t="inlineStr">
        <is>
          <t>Interfaz de Payload</t>
        </is>
      </c>
      <c r="D7" s="19" t="inlineStr">
        <is>
          <t>Transferir los píxeles digitalizados desde el sensor de imagen hacia la electrónica de adquisición.</t>
        </is>
      </c>
      <c r="E7" s="19" t="inlineStr">
        <is>
          <t>MIPI CSI-2 o LVDS; SPI/I2C para configuración.</t>
        </is>
      </c>
      <c r="F7" s="19" t="inlineStr">
        <is>
          <t>Señales diferenciales de alta velocidad. Los rieles de alimentación y niveles definitivos permanecerán TBD hasta disponer del diseño completo de la carga útil.</t>
        </is>
      </c>
      <c r="G7" s="19" t="inlineStr">
        <is>
          <t>Aproxima- damente 18.9 MB por imagen completa a 12 bits, antes de compresión.</t>
        </is>
      </c>
      <c r="H7" s="19" t="inlineStr">
        <is>
          <t>La interfaz definitiva entre MIPI CSI-2 y LVDS se seleccionará junto con el FPGA o bridge de adquisición.</t>
        </is>
      </c>
    </row>
    <row r="8">
      <c r="A8" s="18" t="inlineStr">
        <is>
          <t>IF-02</t>
        </is>
      </c>
      <c r="B8" s="18" t="inlineStr">
        <is>
          <t>Interfaz de Payload</t>
        </is>
      </c>
      <c r="C8" s="18" t="inlineStr">
        <is>
          <t>OBC</t>
        </is>
      </c>
      <c r="D8" s="18" t="inlineStr">
        <is>
          <t>Transferir al computador de a bordo las imágenes adquiridas por la cámara.</t>
        </is>
      </c>
      <c r="E8" s="18" t="inlineStr">
        <is>
          <t>SpaceWire propuesto; alternativa TBD durante diseño detallado.</t>
        </is>
      </c>
      <c r="F8" s="18" t="inlineStr">
        <is>
          <t>Interfaz diferencial. El SAMRH71 dispone de dos puertos SpaceWire. La adaptación física desde el FPGA deberá definirse en el esquemático.</t>
        </is>
      </c>
      <c r="G8" s="18" t="inlineStr">
        <is>
          <t>Hasta 200 Mbps por enlace en el lado del SAMRH71.</t>
        </is>
      </c>
      <c r="H8" s="18" t="inlineStr">
        <is>
          <t>Permite desacoplar la adquisición de alta velocidad del procesamiento general realizado por el OBC.</t>
        </is>
      </c>
    </row>
    <row r="9">
      <c r="A9" s="19" t="inlineStr">
        <is>
          <t>IF-03</t>
        </is>
      </c>
      <c r="B9" s="19" t="inlineStr">
        <is>
          <t>OBC</t>
        </is>
      </c>
      <c r="C9" s="19" t="inlineStr">
        <is>
          <t>Memoria Flash</t>
        </is>
      </c>
      <c r="D9" s="19" t="inlineStr">
        <is>
          <t>Almacenar imágenes, telemetría, eventos y datos de misión de forma no volátil.</t>
        </is>
      </c>
      <c r="E9" s="19" t="inlineStr">
        <is>
          <t>QSPI.</t>
        </is>
      </c>
      <c r="F9" s="19" t="inlineStr">
        <is>
          <t>Memoria CYRS17B01G operada alrededor de 3.3 V. Compatible con los niveles de E/S de 3.0 a 3.6 V del SAMRH71.</t>
        </is>
      </c>
      <c r="G9" s="19" t="inlineStr">
        <is>
          <t>Reloj QSPI de hasta 133 MHz por dispositivo.</t>
        </is>
      </c>
      <c r="H9" s="19" t="inlineStr">
        <is>
          <t>Se considera inicialmente más de un dispositivo para aumentar la capacidad. La cantidad final depende del presupuesto de datos.</t>
        </is>
      </c>
    </row>
    <row r="10">
      <c r="A10" s="18" t="inlineStr">
        <is>
          <t>IF-04</t>
        </is>
      </c>
      <c r="B10" s="18" t="inlineStr">
        <is>
          <t>ICEPS2</t>
        </is>
      </c>
      <c r="C10" s="18" t="inlineStr">
        <is>
          <t>OBC</t>
        </is>
      </c>
      <c r="D10" s="18" t="inlineStr">
        <is>
          <t>Transmitir telemetría del sistema de potencia y recibir comandos de supervisión.</t>
        </is>
      </c>
      <c r="E10" s="18" t="inlineStr">
        <is>
          <t>I2C.</t>
        </is>
      </c>
      <c r="F10" s="18" t="inlineStr">
        <is>
          <t>Niveles lógicos altos entre 2.3 y 3.3 V. El ICEPS2 opera como nodo esclavo.</t>
        </is>
      </c>
      <c r="G10" s="18" t="inlineStr">
        <is>
          <t>100 kbps en modo estándar o 400 kbps en modo rápido.</t>
        </is>
      </c>
      <c r="H10" s="18" t="inlineStr">
        <is>
          <t>Incluye mediciones de voltaje, corriente, temperatura y estados internos del EPS.</t>
        </is>
      </c>
    </row>
    <row r="11">
      <c r="A11" s="19" t="inlineStr">
        <is>
          <t>IF-05</t>
        </is>
      </c>
      <c r="B11" s="19" t="inlineStr">
        <is>
          <t>ICEPS2</t>
        </is>
      </c>
      <c r="C11" s="19" t="inlineStr">
        <is>
          <t>OBC</t>
        </is>
      </c>
      <c r="D11" s="19" t="inlineStr">
        <is>
          <t>Alimentar el computador de a bordo y sus periféricos principales.</t>
        </is>
      </c>
      <c r="E11" s="19" t="inlineStr">
        <is>
          <t>Bus de potencia DC.</t>
        </is>
      </c>
      <c r="F11" s="19" t="inlineStr">
        <is>
          <t>Dominio regulado de 3.3 V del ICEPS2. Capacidad total del dominio de hasta 4 A.</t>
        </is>
      </c>
      <c r="G11" s="19" t="inlineStr">
        <is>
          <t>No aplica.</t>
        </is>
      </c>
      <c r="H11" s="19" t="inlineStr">
        <is>
          <t>Los reguladores locales necesarios para el núcleo del SAMRH71 deberán incorporarse en la PCB del OBC.</t>
        </is>
      </c>
    </row>
    <row r="12">
      <c r="A12" s="18" t="inlineStr">
        <is>
          <t>IF-06</t>
        </is>
      </c>
      <c r="B12" s="18" t="inlineStr">
        <is>
          <t>ICEPS2</t>
        </is>
      </c>
      <c r="C12" s="18" t="inlineStr">
        <is>
          <t>Nano- Com AX100</t>
        </is>
      </c>
      <c r="D12" s="18" t="inlineStr">
        <is>
          <t>Alimentar el transceptor UHF utilizado para telemetría y telecomando.</t>
        </is>
      </c>
      <c r="E12" s="18" t="inlineStr">
        <is>
          <t>Bus de potencia DC.</t>
        </is>
      </c>
      <c r="F12" s="18" t="inlineStr">
        <is>
          <t>Alimentación nominal de 3.3 V.</t>
        </is>
      </c>
      <c r="G12" s="18" t="inlineStr">
        <is>
          <t>No aplica.</t>
        </is>
      </c>
      <c r="H12" s="18" t="inlineStr">
        <is>
          <t>La alimentación se mantendrá separada de las líneas RF y contará con desacoplamiento local en la PCB de comunicaciones.</t>
        </is>
      </c>
    </row>
    <row r="13">
      <c r="A13" s="19" t="inlineStr">
        <is>
          <t>IF-07</t>
        </is>
      </c>
      <c r="B13" s="19" t="inlineStr">
        <is>
          <t>OBC</t>
        </is>
      </c>
      <c r="C13" s="19" t="inlineStr">
        <is>
          <t>Nano- Com AX100</t>
        </is>
      </c>
      <c r="D13" s="19" t="inlineStr">
        <is>
          <t>Enviar telemetría y recibir telecomandos del enlace UHF.</t>
        </is>
      </c>
      <c r="E13" s="19" t="inlineStr">
        <is>
          <t>CAN-Bus propuesto.</t>
        </is>
      </c>
      <c r="F13" s="19" t="inlineStr">
        <is>
          <t>Interfaz diferencial mediante transceptor CAN externo conectado al controlador CAN del SAMRH71.</t>
        </is>
      </c>
      <c r="G13" s="19" t="inlineStr">
        <is>
          <t>La tasa del bus interno deberá superar la tasa RF máxima de 38.4 kbps.</t>
        </is>
      </c>
      <c r="H13" s="19" t="inlineStr">
        <is>
          <t>Se prefiere CAN frente a una UART simple para mejorar robustez entre PCBs. El bitrate definitivo permanece TBD.</t>
        </is>
      </c>
    </row>
    <row r="14">
      <c r="A14" s="18" t="inlineStr">
        <is>
          <t>IF-08</t>
        </is>
      </c>
      <c r="B14" s="18" t="inlineStr">
        <is>
          <t>OBC</t>
        </is>
      </c>
      <c r="C14" s="18" t="inlineStr">
        <is>
          <t>PUL- SAR-HSTX-C</t>
        </is>
      </c>
      <c r="D14" s="18" t="inlineStr">
        <is>
          <t>Transferir los datos científicos almacenados hacia el transmisor S-band y configurar su operación.</t>
        </is>
      </c>
      <c r="E14" s="18" t="inlineStr">
        <is>
          <t>SPI para payload e I2C para configuración.</t>
        </is>
      </c>
      <c r="F14" s="18" t="inlineStr">
        <is>
          <t>SPI de alta velocidad y bus I2C de baja velocidad. Alimentación lógica según interfaz del transmisor.</t>
        </is>
      </c>
      <c r="G14" s="18" t="inlineStr">
        <is>
          <t>SPI de hasta 8 MHz e I2C hasta 400 kHz.</t>
        </is>
      </c>
      <c r="H14" s="18" t="inlineStr">
        <is>
          <t>El SPI transporta los datos de imagen mientras el I2C se reserva para configuración y supervisión.</t>
        </is>
      </c>
    </row>
    <row r="15">
      <c r="A15" s="19" t="inlineStr">
        <is>
          <t>IF-09</t>
        </is>
      </c>
      <c r="B15" s="19" t="inlineStr">
        <is>
          <t>ICEPS2</t>
        </is>
      </c>
      <c r="C15" s="19" t="inlineStr">
        <is>
          <t>PUL- SAR-HSTX-C</t>
        </is>
      </c>
      <c r="D15" s="19" t="inlineStr">
        <is>
          <t>Suministrar potencia durante la transmisión de imágenes por S-band.</t>
        </is>
      </c>
      <c r="E15" s="19" t="inlineStr">
        <is>
          <t>Bus de potencia DC.</t>
        </is>
      </c>
      <c r="F15" s="19" t="inlineStr">
        <is>
          <t>Se utilizará la variante de alimentación regulada a 5 V del transmisor. Consumo máximo inferior a 5 W.</t>
        </is>
      </c>
      <c r="G15" s="19" t="inlineStr">
        <is>
          <t>No aplica.</t>
        </is>
      </c>
      <c r="H15" s="19" t="inlineStr">
        <is>
          <t>La transmisión representa una de las cargas instantáneas más exigentes del CubeSat y deberá considerarse en el presupuesto energético.</t>
        </is>
      </c>
    </row>
    <row r="16">
      <c r="A16" s="18" t="inlineStr">
        <is>
          <t>IF-10</t>
        </is>
      </c>
      <c r="B16" s="18" t="inlineStr">
        <is>
          <t>PUL- SAR-HSTX-C</t>
        </is>
      </c>
      <c r="C16" s="18" t="inlineStr">
        <is>
          <t>PUL- SAR-SANTC</t>
        </is>
      </c>
      <c r="D16" s="18" t="inlineStr">
        <is>
          <t>Transferir la señal de radiofrecuencia hacia la antena S-band.</t>
        </is>
      </c>
      <c r="E16" s="18" t="inlineStr">
        <is>
          <t>RF coaxial.</t>
        </is>
      </c>
      <c r="F16" s="18" t="inlineStr">
        <is>
          <t>Interfaz de aproximadamente 50 ohm. Frecuencia entre 2.2 y 2.3 GHz. Potencia RF ajustable entre 24 y 30 dBm.</t>
        </is>
      </c>
      <c r="G16" s="18" t="inlineStr">
        <is>
          <t>Hasta 8 Mbps de enlace descendente.</t>
        </is>
      </c>
      <c r="H16" s="18" t="inlineStr">
        <is>
          <t>La antena se orientará preferiblemente hacia nadir durante los pases sobre la estación terrestre.</t>
        </is>
      </c>
    </row>
    <row r="17">
      <c r="A17" s="19" t="inlineStr">
        <is>
          <t>IF-11</t>
        </is>
      </c>
      <c r="B17" s="19" t="inlineStr">
        <is>
          <t>Nano -Com AX100</t>
        </is>
      </c>
      <c r="C17" s="19" t="inlineStr">
        <is>
          <t>Antena UHF</t>
        </is>
      </c>
      <c r="D17" s="19" t="inlineStr">
        <is>
          <t>Transmitir telemetría y recibir telecomandos mediante el enlace UHF.</t>
        </is>
      </c>
      <c r="E17" s="19" t="inlineStr">
        <is>
          <t>RF coaxial.</t>
        </is>
      </c>
      <c r="F17" s="19" t="inlineStr">
        <is>
          <t>Interfaz RF de 50 ohm. Banda UHF del AX100 entre 430 y 440 MHz. Potencia de transmisión ajustable entre 24 y 30 dBm.</t>
        </is>
      </c>
      <c r="G17" s="19" t="inlineStr">
        <is>
          <t>Entre 0.1 y 38.4 kbps.</t>
        </is>
      </c>
      <c r="H17" s="19" t="inlineStr">
        <is>
          <t>Este enlace se mantiene para telecomando, telemetría housekeeping y operación de respaldo.</t>
        </is>
      </c>
    </row>
    <row r="18">
      <c r="A18" s="18" t="inlineStr">
        <is>
          <t>IF-12</t>
        </is>
      </c>
      <c r="B18" s="18" t="inlineStr">
        <is>
          <t>MM200 y SS200</t>
        </is>
      </c>
      <c r="C18" s="18" t="inlineStr">
        <is>
          <t>OBC / ADCS</t>
        </is>
      </c>
      <c r="D18" s="18" t="inlineStr">
        <is>
          <t>Transferir las mediciones del campo magnético terrestre y de la dirección solar utilizadas para estimación de actitud.</t>
        </is>
      </c>
      <c r="E18" s="18" t="inlineStr">
        <is>
          <t>I2C.</t>
        </is>
      </c>
      <c r="F18" s="18" t="inlineStr">
        <is>
          <t>El SS200 se alimenta a 5 V. La alimentación definitiva del MM200 y los niveles de bus deberán verificarse mediante su ICD antes del diseño esquemático.</t>
        </is>
      </c>
      <c r="G18" s="18" t="inlineStr">
        <is>
          <t>Baja tasa; muestreo periódico configurable.</t>
        </is>
      </c>
      <c r="H18" s="18" t="inlineStr">
        <is>
          <t>Los sensores pueden compartir el mismo bus si sus direcciones y requisitos eléctricos son compatibles.</t>
        </is>
      </c>
    </row>
    <row r="19">
      <c r="A19" s="19" t="inlineStr">
        <is>
          <t>IF-13</t>
        </is>
      </c>
      <c r="B19" s="19" t="inlineStr">
        <is>
          <t>PG400</t>
        </is>
      </c>
      <c r="C19" s="19" t="inlineStr">
        <is>
          <t>OBC / ADCS</t>
        </is>
      </c>
      <c r="D19" s="19" t="inlineStr">
        <is>
          <t>Transmitir las medidas de velocidad angular del satélite.</t>
        </is>
      </c>
      <c r="E19" s="19" t="inlineStr">
        <is>
          <t>RS-422 full duplex.</t>
        </is>
      </c>
      <c r="F19" s="19" t="inlineStr">
        <is>
          <t>PG400 alimentado nominalmente a 5 V. Señal diferencial RS-422; requiere transceptor físico entre el sensor y el SAMRH71.</t>
        </is>
      </c>
      <c r="G19" s="19" t="inlineStr">
        <is>
          <t>TBD según frecuencia de adquisición seleccionada.</t>
        </is>
      </c>
      <c r="H19" s="19" t="inlineStr">
        <is>
          <t>La interfaz diferencial proporciona mayor inmunidad al ruido que una señal UART CMOS directa.</t>
        </is>
      </c>
    </row>
    <row r="20">
      <c r="A20" s="18" t="inlineStr">
        <is>
          <t>IF-14</t>
        </is>
      </c>
      <c r="B20" s="18" t="inlineStr">
        <is>
          <t>OBC / ADCS</t>
        </is>
      </c>
      <c r="C20" s="18" t="inlineStr">
        <is>
          <t>3 ruedas RW210</t>
        </is>
      </c>
      <c r="D20" s="18" t="inlineStr">
        <is>
          <t>Enviar referencias de velocidad o torque a las ruedas de reacción y recibir su estado.</t>
        </is>
      </c>
      <c r="E20" s="18" t="inlineStr">
        <is>
          <t>I2C.</t>
        </is>
      </c>
      <c r="F20" s="18" t="inlineStr">
        <is>
          <t>Interfaz I2C compatible. Alimentación y variante exacta de rueda pendientes del dimensionamiento final del ADCS.</t>
        </is>
      </c>
      <c r="G20" s="18" t="inlineStr">
        <is>
          <t>Baja tasa de datos; actualización periódica de control.</t>
        </is>
      </c>
      <c r="H20" s="18" t="inlineStr">
        <is>
          <t>Cada rueda incorpora control interno, reduciendo la carga de control de bajo nivel sobre el OBC.</t>
        </is>
      </c>
    </row>
    <row r="21">
      <c r="A21" s="19" t="inlineStr">
        <is>
          <t>IF-15</t>
        </is>
      </c>
      <c r="B21" s="19" t="inlineStr">
        <is>
          <t>OBC / ADCS</t>
        </is>
      </c>
      <c r="C21" s="19" t="inlineStr">
        <is>
          <t>Drivers de CubeTorquer</t>
        </is>
      </c>
      <c r="D21" s="19" t="inlineStr">
        <is>
          <t>Controlar el momento magnético generado por los tres magnetorquers.</t>
        </is>
      </c>
      <c r="E21" s="19" t="inlineStr">
        <is>
          <t>PWM / GPIO hacia etapa de potencia.</t>
        </is>
      </c>
      <c r="F21" s="19" t="inlineStr">
        <is>
          <t>Los CubeTorquer CR0002 están especificados para 5 V y aproximadamente 98 mA nominales por actuador. El OBC no los alimenta directamente.</t>
        </is>
      </c>
      <c r="G21" s="19" t="inlineStr">
        <is>
          <t>No aplica como enlace de datos.</t>
        </is>
      </c>
      <c r="H21" s="19" t="inlineStr">
        <is>
          <t>Se requiere una etapa de potencia bidireccional o puente H para controlar sentido y magnitud promedio de corriente.</t>
        </is>
      </c>
    </row>
    <row r="22">
      <c r="A22" s="18" t="inlineStr">
        <is>
          <t>IF-16</t>
        </is>
      </c>
      <c r="B22" s="18" t="inlineStr">
        <is>
          <t>Paneles solares</t>
        </is>
      </c>
      <c r="C22" s="18" t="inlineStr">
        <is>
          <t>ICEPS2</t>
        </is>
      </c>
      <c r="D22" s="18" t="inlineStr">
        <is>
          <t>Transferir la energía producida por las celdas fotovoltaicas al sistema de acondicionamiento y carga.</t>
        </is>
      </c>
      <c r="E22" s="18" t="inlineStr">
        <is>
          <t>Potencia DC.</t>
        </is>
      </c>
      <c r="F22" s="18" t="inlineStr">
        <is>
          <t>Voltaje y corriente variables según conexión serie/paralelo, iluminación y temperatura. Configuración definitiva TBD.</t>
        </is>
      </c>
      <c r="G22" s="18" t="inlineStr">
        <is>
          <t>No aplica.</t>
        </is>
      </c>
      <c r="H22" s="18" t="inlineStr">
        <is>
          <t>La disposición de celdas se definirá mediante el presupuesto energético y el área disponible en las caras del CubeSat.</t>
        </is>
      </c>
    </row>
    <row r="23">
      <c r="A23" s="19" t="inlineStr">
        <is>
          <t>IF-17</t>
        </is>
      </c>
      <c r="B23" s="19" t="inlineStr">
        <is>
          <t>Antenas</t>
        </is>
      </c>
      <c r="C23" s="19" t="inlineStr">
        <is>
          <t>Estación terrestre</t>
        </is>
      </c>
      <c r="D23" s="19" t="inlineStr">
        <is>
          <t>Establecer los enlaces externos de telecomando, telemetría y descarga de información científica.</t>
        </is>
      </c>
      <c r="E23" s="19" t="inlineStr">
        <is>
          <t>UHF y S-band RF.</t>
        </is>
      </c>
      <c r="F23" s="19" t="inlineStr">
        <is>
          <t>UHF para TT&amp;C y S-band comercial entre 2.2 y 2.3 GHz para payload.</t>
        </is>
      </c>
      <c r="G23" s="19" t="inlineStr">
        <is>
          <t>Hasta 38.4 kbps en UHF y hasta 8 Mbps en S-band.</t>
        </is>
      </c>
      <c r="H23" s="19" t="inlineStr">
        <is>
          <t>La estación de Medellín deberá disponer de capacidad S-band para utilizar el enlace de alta velocidad; esta condición permanece como TBD del segmento terreno.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4" customWidth="1" min="3" max="3"/>
    <col width="29" customWidth="1" min="4" max="4"/>
    <col width="31" customWidth="1" min="5" max="5"/>
    <col width="31" customWidth="1" min="6" max="6"/>
    <col width="23" customWidth="1" min="7" max="7"/>
    <col width="53" customWidth="1" min="8" max="8"/>
  </cols>
  <sheetData>
    <row r="1">
      <c r="A1" s="1" t="inlineStr">
        <is>
          <t>Presupuestos de Potencia, Masa, Volumen y Datos</t>
        </is>
      </c>
    </row>
    <row r="2">
      <c r="A2" s="2" t="inlineStr">
        <is>
          <t>Estimaciones cuantitativas de recursos orbitales y balance de almacenamiento/telecomunicaciones</t>
        </is>
      </c>
    </row>
    <row r="3"/>
    <row r="4">
      <c r="A4" s="3" t="inlineStr">
        <is>
          <t>TABLA 11: Presupuesto preliminar de potencia y recursos del CubeSat UD34.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9" t="inlineStr">
        <is>
          <t>Subsistema</t>
        </is>
      </c>
      <c r="B5" s="9" t="inlineStr">
        <is>
          <t>Potencia Nominal (W)</t>
        </is>
      </c>
      <c r="C5" s="9" t="inlineStr">
        <is>
          <t>Potencia Máxima (W)</t>
        </is>
      </c>
      <c r="D5" s="9" t="inlineStr">
        <is>
          <t>Ciclo de Actividad</t>
        </is>
      </c>
      <c r="E5" s="9" t="inlineStr">
        <is>
          <t>Energía Estimada (Wh/órbita)</t>
        </is>
      </c>
      <c r="F5" s="9" t="inlineStr">
        <is>
          <t>Masa Estimada (g)</t>
        </is>
      </c>
      <c r="G5" s="9" t="inlineStr">
        <is>
          <t>Volumen Asignado (U)</t>
        </is>
      </c>
      <c r="H5" s="9" t="inlineStr">
        <is>
          <t>Fuente de la Estimación</t>
        </is>
      </c>
    </row>
    <row r="6">
      <c r="A6" s="19" t="inlineStr">
        <is>
          <t>EPS y batería</t>
        </is>
      </c>
      <c r="B6" s="27" t="n">
        <v>0.093</v>
      </c>
      <c r="C6" s="27" t="n">
        <v>0.2</v>
      </c>
      <c r="D6" s="28" t="inlineStr">
        <is>
          <t>100%</t>
        </is>
      </c>
      <c r="E6" s="27" t="n">
        <v>0.14</v>
      </c>
      <c r="F6" s="29" t="n">
        <v>184</v>
      </c>
      <c r="G6" s="28" t="inlineStr">
        <is>
          <t>0.234 U</t>
        </is>
      </c>
      <c r="H6" s="19" t="inlineStr">
        <is>
          <t>Hoja de datos ICEPS2 Type A.</t>
        </is>
      </c>
    </row>
    <row r="7">
      <c r="A7" s="19" t="inlineStr">
        <is>
          <t>OBC, FPGA y almacenamiento</t>
        </is>
      </c>
      <c r="B7" s="27" t="n">
        <v>0.8</v>
      </c>
      <c r="C7" s="27" t="n">
        <v>1.5</v>
      </c>
      <c r="D7" s="28" t="inlineStr">
        <is>
          <t>100%</t>
        </is>
      </c>
      <c r="E7" s="27" t="n">
        <v>1.2</v>
      </c>
      <c r="F7" s="29" t="n">
        <v>158</v>
      </c>
      <c r="G7" s="28" t="inlineStr">
        <is>
          <t>0.12 U</t>
        </is>
      </c>
      <c r="H7" s="19" t="inlineStr">
        <is>
          <t>Hojas de datos de componentes y estimación de PCB.</t>
        </is>
      </c>
    </row>
    <row r="8">
      <c r="A8" s="19" t="inlineStr">
        <is>
          <t>Carga útil multiespectral</t>
        </is>
      </c>
      <c r="B8" s="27" t="n">
        <v>1</v>
      </c>
      <c r="C8" s="27" t="n">
        <v>1.2</v>
      </c>
      <c r="D8" s="28" t="inlineStr">
        <is>
          <t>5%</t>
        </is>
      </c>
      <c r="E8" s="27" t="n">
        <v>0.075</v>
      </c>
      <c r="F8" s="29" t="n">
        <v>150</v>
      </c>
      <c r="G8" s="28" t="inlineStr">
        <is>
          <t>0.15 U</t>
        </is>
      </c>
      <c r="H8" s="19" t="inlineStr">
        <is>
          <t>Sensor Emerald 12M USV y estimación óptica.</t>
        </is>
      </c>
    </row>
    <row r="9">
      <c r="A9" s="19" t="inlineStr">
        <is>
          <t>COMMS UHF</t>
        </is>
      </c>
      <c r="B9" s="27" t="n">
        <v>0.18</v>
      </c>
      <c r="C9" s="27" t="n">
        <v>2.64</v>
      </c>
      <c r="D9" s="28" t="inlineStr">
        <is>
          <t>Rx 97.5%; Tx 2.5%</t>
        </is>
      </c>
      <c r="E9" s="27" t="n">
        <v>0.36</v>
      </c>
      <c r="F9" s="29" t="n">
        <v>115</v>
      </c>
      <c r="G9" s="28" t="inlineStr">
        <is>
          <t>0.084 U</t>
        </is>
      </c>
      <c r="H9" s="19" t="inlineStr">
        <is>
          <t>NanoCom AX100 y antena UHF de referencia.</t>
        </is>
      </c>
    </row>
    <row r="10">
      <c r="A10" s="19" t="inlineStr">
        <is>
          <t>COMMS S-band</t>
        </is>
      </c>
      <c r="B10" s="27" t="n">
        <v>0</v>
      </c>
      <c r="C10" s="27" t="n">
        <v>5</v>
      </c>
      <c r="D10" s="28" t="inlineStr">
        <is>
          <t>2.1%</t>
        </is>
      </c>
      <c r="E10" s="27" t="n">
        <v>0.16</v>
      </c>
      <c r="F10" s="29" t="n">
        <v>150</v>
      </c>
      <c r="G10" s="28" t="inlineStr">
        <is>
          <t>0.15 U</t>
        </is>
      </c>
      <c r="H10" s="19" t="inlineStr">
        <is>
          <t>PULSAR-HSTX-C y antena S-band de referencia.</t>
        </is>
      </c>
    </row>
    <row r="11">
      <c r="A11" s="19" t="inlineStr">
        <is>
          <t>ADCS</t>
        </is>
      </c>
      <c r="B11" s="27" t="n">
        <v>1</v>
      </c>
      <c r="C11" s="27" t="n">
        <v>4.6</v>
      </c>
      <c r="D11" s="28" t="inlineStr">
        <is>
          <t>100%</t>
        </is>
      </c>
      <c r="E11" s="27" t="n">
        <v>1.5</v>
      </c>
      <c r="F11" s="29" t="n">
        <v>208</v>
      </c>
      <c r="G11" s="28" t="inlineStr">
        <is>
          <t>0.08 U</t>
        </is>
      </c>
      <c r="H11" s="19" t="inlineStr">
        <is>
          <t>RW210, CubeTorquer, MM200, PG400, SS200.</t>
        </is>
      </c>
    </row>
    <row r="12">
      <c r="A12" s="19" t="inlineStr">
        <is>
          <t>Celdas solares</t>
        </is>
      </c>
      <c r="B12" s="27" t="n">
        <v>0</v>
      </c>
      <c r="C12" s="27" t="n">
        <v>1.2</v>
      </c>
      <c r="D12" s="28" t="inlineStr">
        <is>
          <t>61% (iluminado)</t>
        </is>
      </c>
      <c r="E12" s="27" t="n">
        <v>0</v>
      </c>
      <c r="F12" s="29" t="n">
        <v>49</v>
      </c>
      <c r="G12" s="28" t="inlineStr">
        <is>
          <t>Externo</t>
        </is>
      </c>
      <c r="H12" s="19" t="inlineStr">
        <is>
          <t>AZUR SPACE 3G30A-Advanced.</t>
        </is>
      </c>
    </row>
    <row r="13">
      <c r="A13" s="19" t="inlineStr">
        <is>
          <t>Estructura 1U</t>
        </is>
      </c>
      <c r="B13" s="27" t="n">
        <v>0</v>
      </c>
      <c r="C13" s="27" t="n">
        <v>0</v>
      </c>
      <c r="D13" s="28" t="inlineStr">
        <is>
          <t>100%</t>
        </is>
      </c>
      <c r="E13" s="27" t="n">
        <v>0</v>
      </c>
      <c r="F13" s="29" t="n">
        <v>300</v>
      </c>
      <c r="G13" s="28" t="inlineStr">
        <is>
          <t>1.00 U</t>
        </is>
      </c>
      <c r="H13" s="19" t="inlineStr">
        <is>
          <t>Estructura, rieles y separadores.</t>
        </is>
      </c>
    </row>
    <row r="14">
      <c r="A14" s="19" t="inlineStr">
        <is>
          <t>Arnés e interfaces térmicas</t>
        </is>
      </c>
      <c r="B14" s="27" t="n">
        <v>0</v>
      </c>
      <c r="C14" s="27" t="n">
        <v>0</v>
      </c>
      <c r="D14" s="28" t="inlineStr">
        <is>
          <t>100%</t>
        </is>
      </c>
      <c r="E14" s="27" t="n">
        <v>0</v>
      </c>
      <c r="F14" s="29" t="n">
        <v>120</v>
      </c>
      <c r="G14" s="28" t="inlineStr">
        <is>
          <t>0.08 U</t>
        </is>
      </c>
      <c r="H14" s="19" t="inlineStr">
        <is>
          <t>Margen preliminar de integración.</t>
        </is>
      </c>
    </row>
    <row r="15">
      <c r="A15" s="30" t="inlineStr">
        <is>
          <t>TOTALES DEL SISTEMA</t>
        </is>
      </c>
      <c r="B15" s="31">
        <f>SUM(B6:B14)</f>
        <v/>
      </c>
      <c r="C15" s="25" t="inlineStr">
        <is>
          <t>--</t>
        </is>
      </c>
      <c r="D15" s="25" t="inlineStr">
        <is>
          <t>--</t>
        </is>
      </c>
      <c r="E15" s="31">
        <f>SUM(E6:E14)</f>
        <v/>
      </c>
      <c r="F15" s="32">
        <f>SUM(F6:F14)</f>
        <v/>
      </c>
      <c r="G15" s="25" t="inlineStr">
        <is>
          <t>≈ 1.0 U</t>
        </is>
      </c>
      <c r="H15" s="23" t="inlineStr">
        <is>
          <t>Masa dentro del límite de 2000 g (RNF-01)</t>
        </is>
      </c>
    </row>
    <row r="16"/>
    <row r="17"/>
    <row r="18">
      <c r="A18" s="3" t="inlineStr">
        <is>
          <t>TABLA 12: Presupuesto preliminar de generación, almacenamiento y transferencia de datos.</t>
        </is>
      </c>
      <c r="B18" s="4" t="n"/>
      <c r="C18" s="4" t="n"/>
      <c r="D18" s="4" t="n"/>
      <c r="E18" s="4" t="n"/>
      <c r="F18" s="4" t="n"/>
    </row>
    <row r="19">
      <c r="A19" s="9" t="inlineStr">
        <is>
          <t>Fuente de Datos</t>
        </is>
      </c>
      <c r="B19" s="9" t="inlineStr">
        <is>
          <t>Datos por Adquisición (MB)</t>
        </is>
      </c>
      <c r="C19" s="9" t="inlineStr">
        <is>
          <t>Adquisiciones Diarias</t>
        </is>
      </c>
      <c r="D19" s="9" t="inlineStr">
        <is>
          <t>Volumen Acumulado (MB/día)</t>
        </is>
      </c>
      <c r="E19" s="9" t="inlineStr">
        <is>
          <t>Almacenamiento 3 Días (MB)</t>
        </is>
      </c>
      <c r="F19" s="9" t="inlineStr">
        <is>
          <t>Tasa Mínima Requerida (kbps)</t>
        </is>
      </c>
    </row>
    <row r="20">
      <c r="A20" s="19" t="inlineStr">
        <is>
          <t>Carga útil multiespectral</t>
        </is>
      </c>
      <c r="B20" s="33" t="n">
        <v>18.9</v>
      </c>
      <c r="C20" s="34" t="n">
        <v>4</v>
      </c>
      <c r="D20" s="22">
        <f>B20*C20</f>
        <v/>
      </c>
      <c r="E20" s="22">
        <f>D20*3</f>
        <v/>
      </c>
      <c r="F20" s="35" t="n">
        <v>336</v>
      </c>
    </row>
    <row r="21">
      <c r="A21" s="19" t="inlineStr">
        <is>
          <t>Housekeeping EPS/OBC</t>
        </is>
      </c>
      <c r="B21" s="33" t="n">
        <v>0.55</v>
      </c>
      <c r="C21" s="34" t="n">
        <v>1</v>
      </c>
      <c r="D21" s="22">
        <f>B21*C21</f>
        <v/>
      </c>
      <c r="E21" s="22">
        <f>D21*3</f>
        <v/>
      </c>
      <c r="F21" s="35" t="n">
        <v>2.5</v>
      </c>
    </row>
    <row r="22">
      <c r="A22" s="19" t="inlineStr">
        <is>
          <t>Datos ADCS</t>
        </is>
      </c>
      <c r="B22" s="33" t="n">
        <v>2.76</v>
      </c>
      <c r="C22" s="34" t="n">
        <v>1</v>
      </c>
      <c r="D22" s="22">
        <f>B22*C22</f>
        <v/>
      </c>
      <c r="E22" s="22">
        <f>D22*3</f>
        <v/>
      </c>
      <c r="F22" s="35" t="n">
        <v>12.3</v>
      </c>
    </row>
    <row r="23">
      <c r="A23" s="19" t="inlineStr">
        <is>
          <t>Registro de eventos</t>
        </is>
      </c>
      <c r="B23" s="33" t="n">
        <v>0.1</v>
      </c>
      <c r="C23" s="34" t="n">
        <v>1</v>
      </c>
      <c r="D23" s="22">
        <f>B23*C23</f>
        <v/>
      </c>
      <c r="E23" s="22">
        <f>D23*3</f>
        <v/>
      </c>
      <c r="F23" s="35" t="n">
        <v>1</v>
      </c>
    </row>
    <row r="24">
      <c r="A24" s="30" t="inlineStr">
        <is>
          <t>TOTAL APROXIMADO</t>
        </is>
      </c>
      <c r="B24" s="25" t="inlineStr">
        <is>
          <t>--</t>
        </is>
      </c>
      <c r="C24" s="25" t="inlineStr">
        <is>
          <t>--</t>
        </is>
      </c>
      <c r="D24" s="26">
        <f>SUM(D20:D23)</f>
        <v/>
      </c>
      <c r="E24" s="26">
        <f>SUM(E20:E23)</f>
        <v/>
      </c>
      <c r="F24" s="36">
        <f>SUM(F20:F23)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>
      <c r="A1" s="1" t="inlineStr">
        <is>
          <t>Asuntos Pendientes (TBDs) y Matriz de Riesgos Técnicos</t>
        </is>
      </c>
    </row>
    <row r="2">
      <c r="A2" s="2" t="inlineStr">
        <is>
          <t>Parámetros de diseño abiertos y estrategias de mitigación preliminares</t>
        </is>
      </c>
    </row>
    <row r="3"/>
    <row r="4">
      <c r="A4" s="3" t="inlineStr">
        <is>
          <t>TABLA 13: Asuntos pendientes de definición del CubeSat UD34.</t>
        </is>
      </c>
      <c r="B4" s="4" t="n"/>
      <c r="C4" s="4" t="n"/>
      <c r="D4" s="4" t="n"/>
    </row>
    <row r="5">
      <c r="A5" s="9" t="inlineStr">
        <is>
          <t>p{3.4cm} X X} ID</t>
        </is>
      </c>
      <c r="B5" s="9" t="inlineStr">
        <is>
          <t>Asunto pendiente</t>
        </is>
      </c>
      <c r="C5" s="9" t="inlineStr">
        <is>
          <t>Razón por la cual permanece abierto</t>
        </is>
      </c>
      <c r="D5" s="9" t="inlineStr">
        <is>
          <t>Información o análisis requerido para cerrarlo</t>
        </is>
      </c>
    </row>
    <row r="6">
      <c r="A6" s="18" t="inlineStr">
        <is>
          <t>ID</t>
        </is>
      </c>
      <c r="B6" s="18" t="inlineStr">
        <is>
          <t>Asunto pendiente</t>
        </is>
      </c>
      <c r="C6" s="18" t="inlineStr">
        <is>
          <t>Razón por la cual permanece abierto</t>
        </is>
      </c>
      <c r="D6" s="18" t="inlineStr">
        <is>
          <t>Información o análisis requerido para cerrarlo</t>
        </is>
      </c>
    </row>
    <row r="7">
      <c r="A7" s="19" t="inlineStr">
        <is>
          <t>TBD-01</t>
        </is>
      </c>
      <c r="B7" s="19" t="inlineStr">
        <is>
          <t>Configuración óptica de la carga útil multiespectral</t>
        </is>
      </c>
      <c r="C7" s="19" t="inlineStr">
        <is>
          <t>El sensor de imagen de referencia no define por sí solo las bandas espectrales ni la óptica necesaria para obtener las imágenes de la misión.</t>
        </is>
      </c>
      <c r="D7" s="19" t="inlineStr">
        <is>
          <t>Seleccionar bandas espectrales, filtros y óptica; posteriormente verificar campo de visión, resolución espacial y volumen disponible.</t>
        </is>
      </c>
    </row>
    <row r="8">
      <c r="A8" s="18" t="inlineStr">
        <is>
          <t>TBD-02</t>
        </is>
      </c>
      <c r="B8" s="18" t="inlineStr">
        <is>
          <t>Dispositivo de adquisición entre cámara y OBC</t>
        </is>
      </c>
      <c r="C8" s="18" t="inlineStr">
        <is>
          <t>La salida de alta velocidad de la cámara no es directamente compatible con las interfaces principales del procesador seleccionado.</t>
        </is>
      </c>
      <c r="D8" s="18" t="inlineStr">
        <is>
          <t>Seleccionar FPGA o dispositivo bridge y definir la interfaz definitiva entre el sensor, la etapa de adquisición y el OBC.</t>
        </is>
      </c>
    </row>
    <row r="9">
      <c r="A9" s="19" t="inlineStr">
        <is>
          <t>TBD-03</t>
        </is>
      </c>
      <c r="B9" s="19" t="inlineStr">
        <is>
          <t>Cantidad y distribución de celdas solares</t>
        </is>
      </c>
      <c r="C9" s="19" t="inlineStr">
        <is>
          <t>La potencia realmente disponible depende de orientación, iluminación, temperatura y superficie externa ocupada por otros elementos.</t>
        </is>
      </c>
      <c r="D9" s="19" t="inlineStr">
        <is>
          <t>Realizar un balance energético orbital y definir la distribución física de paneles o celdas sobre las caras disponibles.</t>
        </is>
      </c>
    </row>
    <row r="10">
      <c r="A10" s="18" t="inlineStr">
        <is>
          <t>TBD-04</t>
        </is>
      </c>
      <c r="B10" s="18" t="inlineStr">
        <is>
          <t>Configuración final del sistema ADCS</t>
        </is>
      </c>
      <c r="C10" s="18" t="inlineStr">
        <is>
          <t>El torque y almacenamiento de momento requeridos dependen de la inercia del CubeSat y de las perturbaciones esperadas en órbita.</t>
        </is>
      </c>
      <c r="D10" s="18" t="inlineStr">
        <is>
          <t>Completar el modelo de masa del satélite y estimar sus momentos de inercia para seleccionar la variante definitiva de ruedas de reacción.</t>
        </is>
      </c>
    </row>
    <row r="11">
      <c r="A11" s="19" t="inlineStr">
        <is>
          <t>TBD-05</t>
        </is>
      </c>
      <c r="B11" s="19" t="inlineStr">
        <is>
          <t>Compatibilidad S-band de la estación terrestre</t>
        </is>
      </c>
      <c r="C11" s="19" t="inlineStr">
        <is>
          <t>La arquitectura propuesta requiere un enlace de alta velocidad para la descarga de datos científicos.</t>
        </is>
      </c>
      <c r="D11" s="19" t="inlineStr">
        <is>
          <t>Verificar que la estación terrestre de referencia pueda operar en la banda y características del transmisor seleccionado, o definir las modificaciones necesarias.</t>
        </is>
      </c>
    </row>
    <row r="12">
      <c r="A12" s="18" t="inlineStr">
        <is>
          <t>TBD-06</t>
        </is>
      </c>
      <c r="B12" s="18" t="inlineStr">
        <is>
          <t>Distribución física definitiva de los módulos</t>
        </is>
      </c>
      <c r="C12" s="18" t="inlineStr">
        <is>
          <t>Aunque el presupuesto volumétrico es preliminarmente viable, la geometría de algunos componentes puede impedir su integración práctica.</t>
        </is>
      </c>
      <c r="D12" s="18" t="inlineStr">
        <is>
          <t>Desarrollar un modelo CAD del CubeSat con PCBs, cámara, batería, antenas, ADCS, conectores y separadores.</t>
        </is>
      </c>
    </row>
    <row r="13">
      <c r="A13" s="19" t="inlineStr">
        <is>
          <t>TBD-07</t>
        </is>
      </c>
      <c r="B13" s="19" t="inlineStr">
        <is>
          <t>Gestión térmica de los elementos de mayor consumo</t>
        </is>
      </c>
      <c r="C13" s="19" t="inlineStr">
        <is>
          <t>El transmisor S-band, reguladores y actuadores pueden generar concentraciones locales de calor durante los modos de máxima actividad.</t>
        </is>
      </c>
      <c r="D13" s="19" t="inlineStr">
        <is>
          <t>Realizar un modelo térmico preliminar y verificar rutas de conducción hacia la estructura del CubeSat.</t>
        </is>
      </c>
    </row>
    <row r="14"/>
    <row r="15">
      <c r="A15" s="3" t="inlineStr">
        <is>
          <t>TABLA 14: Matriz preliminar de riesgos técnicos del CubeSat UD34.</t>
        </is>
      </c>
      <c r="B15" s="4" t="n"/>
      <c r="C15" s="4" t="n"/>
      <c r="D15" s="4" t="n"/>
      <c r="E15" s="4" t="n"/>
    </row>
    <row r="16">
      <c r="A16" s="9" t="inlineStr">
        <is>
          <t>X p{1.5cm} p{1.5cm} X} ID</t>
        </is>
      </c>
      <c r="B16" s="9" t="inlineStr">
        <is>
          <t>Riesgo</t>
        </is>
      </c>
      <c r="C16" s="9" t="inlineStr">
        <is>
          <t>Probabilidad</t>
        </is>
      </c>
      <c r="D16" s="9" t="inlineStr">
        <is>
          <t>Impacto</t>
        </is>
      </c>
      <c r="E16" s="9" t="inlineStr">
        <is>
          <t>Estrategia preliminar de mitigación</t>
        </is>
      </c>
    </row>
    <row r="17">
      <c r="A17" s="18" t="inlineStr">
        <is>
          <t>ID</t>
        </is>
      </c>
      <c r="B17" s="18" t="inlineStr">
        <is>
          <t>Riesgo</t>
        </is>
      </c>
      <c r="C17" s="18" t="inlineStr">
        <is>
          <t>Probabilidad</t>
        </is>
      </c>
      <c r="D17" s="18" t="inlineStr">
        <is>
          <t>Impacto</t>
        </is>
      </c>
      <c r="E17" s="18" t="inlineStr">
        <is>
          <t>Estrategia preliminar de mitigación</t>
        </is>
      </c>
    </row>
    <row r="18">
      <c r="A18" s="19" t="inlineStr">
        <is>
          <t>RSK-01</t>
        </is>
      </c>
      <c r="B18" s="19" t="inlineStr">
        <is>
          <t>La generación solar real resulta inferior a la requerida por el presupuesto energético orbital.</t>
        </is>
      </c>
      <c r="C18" s="19" t="inlineStr">
        <is>
          <t>Media</t>
        </is>
      </c>
      <c r="D18" s="19" t="inlineStr">
        <is>
          <t>Alto</t>
        </is>
      </c>
      <c r="E18" s="19" t="inlineStr">
        <is>
          <t>Optimizar los modos de operación, reducir ciclos de actividad de cargas de alto consumo y revisar la cantidad o disposición de celdas solares.</t>
        </is>
      </c>
    </row>
    <row r="19">
      <c r="A19" s="18" t="inlineStr">
        <is>
          <t>RSK-02</t>
        </is>
      </c>
      <c r="B19" s="18" t="inlineStr">
        <is>
          <t>Los módulos seleccionados no pueden integrarse físicamente dentro del volumen disponible de 1U.</t>
        </is>
      </c>
      <c r="C19" s="18" t="inlineStr">
        <is>
          <t>Media</t>
        </is>
      </c>
      <c r="D19" s="18" t="inlineStr">
        <is>
          <t>Alto</t>
        </is>
      </c>
      <c r="E19" s="18" t="inlineStr">
        <is>
          <t>Realizar integración CAD antes del diseño final de PCBs y sustituir componentes por alternativas más compactas si fuese necesario.</t>
        </is>
      </c>
    </row>
    <row r="20">
      <c r="A20" s="19" t="inlineStr">
        <is>
          <t>RSK-03</t>
        </is>
      </c>
      <c r="B20" s="19" t="inlineStr">
        <is>
          <t>La estación terrestre no dispone de un enlace S-band compatible con el sistema de comunicaciones propuesto.</t>
        </is>
      </c>
      <c r="C20" s="19" t="inlineStr">
        <is>
          <t>Media</t>
        </is>
      </c>
      <c r="D20" s="19" t="inlineStr">
        <is>
          <t>Alto</t>
        </is>
      </c>
      <c r="E20" s="19" t="inlineStr">
        <is>
          <t>Verificar tempranamente las capacidades de la estación terrestre y mantener alternativas de comunicación o adaptación del segmento terreno.</t>
        </is>
      </c>
    </row>
    <row r="21">
      <c r="A21" s="18" t="inlineStr">
        <is>
          <t>RSK-04</t>
        </is>
      </c>
      <c r="B21" s="18" t="inlineStr">
        <is>
          <t>La carga útil genera más información de la prevista debido a la configuración multiespectral definitiva.</t>
        </is>
      </c>
      <c r="C21" s="18" t="inlineStr">
        <is>
          <t>Media</t>
        </is>
      </c>
      <c r="D21" s="18" t="inlineStr">
        <is>
          <t>Medio</t>
        </is>
      </c>
      <c r="E21" s="18" t="inlineStr">
        <is>
          <t>Dimensionar memoria con margen, implementar compresión y ajustar el número de adquisiciones de acuerdo con la capacidad real del enlace descendente.</t>
        </is>
      </c>
    </row>
    <row r="22">
      <c r="A22" s="19" t="inlineStr">
        <is>
          <t>RSK-05</t>
        </is>
      </c>
      <c r="B22" s="19" t="inlineStr">
        <is>
          <t>Interferencia electromagnética o magnética afecta las mediciones del ADCS.</t>
        </is>
      </c>
      <c r="C22" s="19" t="inlineStr">
        <is>
          <t>Media</t>
        </is>
      </c>
      <c r="D22" s="19" t="inlineStr">
        <is>
          <t>Alto</t>
        </is>
      </c>
      <c r="E22" s="19" t="inlineStr">
        <is>
          <t>Separar físicamente el magnetómetro de transmisores, convertidores, actuadores y corrientes elevadas; revisar el layout y realizar calibración del sistema integrado.</t>
        </is>
      </c>
    </row>
    <row r="23">
      <c r="A23" s="18" t="inlineStr">
        <is>
          <t>RSK-06</t>
        </is>
      </c>
      <c r="B23" s="18" t="inlineStr">
        <is>
          <t>Bloqueo o corrupción temporal del OBC debido a eventos de radiación.</t>
        </is>
      </c>
      <c r="C23" s="18" t="inlineStr">
        <is>
          <t>Baja--Media</t>
        </is>
      </c>
      <c r="D23" s="18" t="inlineStr">
        <is>
          <t>Alto</t>
        </is>
      </c>
      <c r="E23" s="18" t="inlineStr">
        <is>
          <t>Utilizar un procesador con tolerancia a radiación, watchdog independiente, memorias con mecanismos de detección/corrección de errores y modos de recuperación segura.</t>
        </is>
      </c>
    </row>
    <row r="24">
      <c r="A24" s="19" t="inlineStr">
        <is>
          <t>RSK-07</t>
        </is>
      </c>
      <c r="B24" s="19" t="inlineStr">
        <is>
          <t>Sobretemperatura durante periodos de transmisión S-band o alta actividad del ADCS.</t>
        </is>
      </c>
      <c r="C24" s="19" t="inlineStr">
        <is>
          <t>Media</t>
        </is>
      </c>
      <c r="D24" s="19" t="inlineStr">
        <is>
          <t>Medio--Alto</t>
        </is>
      </c>
      <c r="E24" s="19" t="inlineStr">
        <is>
          <t>Limitar duración continua de modos de alta potencia, mejorar conducción térmica hacia la estructura y verificar temperaturas mediante análisis y pruebas térmicas.</t>
        </is>
      </c>
    </row>
    <row r="25">
      <c r="A25" s="18" t="inlineStr">
        <is>
          <t>RSK-08</t>
        </is>
      </c>
      <c r="B25" s="18" t="inlineStr">
        <is>
          <t>Pérdida temporal del control de actitud impide apuntar correctamente la cámara o la antena S-band.</t>
        </is>
      </c>
      <c r="C25" s="18" t="inlineStr">
        <is>
          <t>Media</t>
        </is>
      </c>
      <c r="D25" s="18" t="inlineStr">
        <is>
          <t>Alto</t>
        </is>
      </c>
      <c r="E25" s="18" t="inlineStr">
        <is>
          <t>Mantener sensores redundantes en principio de medida, utilizar magnetorquers para recuperación y definir un modo seguro de actitud.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2026-09-29T01:50:39Z</dcterms:created>
  <dcterms:modified xmlns:dcterms="http://purl.org/dc/terms/" xmlns:xsi="http://www.w3.org/2001/XMLSchema-instance" xsi:type="dcterms:W3CDTF">2026-09-29T01:50:39Z</dcterms:modified>
</cp:coreProperties>
</file>