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3854eeec8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tizaciones_20" sheetId="1" r:id="R57d57c6105214150"/>
    <x:sheet xmlns:r="http://schemas.openxmlformats.org/officeDocument/2006/relationships" name="Resumen_20" sheetId="2" r:id="R9c321e5f5f49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65C"/>
      </x:patternFill>
    </x:fill>
    <x:fill>
      <x:patternFill patternType="solid">
        <x:fgColor rgb="FFE9EF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2a2be3f104e55" /><Relationship Type="http://schemas.openxmlformats.org/officeDocument/2006/relationships/theme" Target="/xl/theme/theme1.xml" Id="Ra1f12b24002a4001" /><Relationship Type="http://schemas.openxmlformats.org/officeDocument/2006/relationships/sharedStrings" Target="/xl/sharedStrings.xml" Id="R9e7f45b7d80e4b76" /><Relationship Type="http://schemas.openxmlformats.org/officeDocument/2006/relationships/worksheet" Target="/xl/worksheets/sheet1.xml" Id="R57d57c6105214150" /><Relationship Type="http://schemas.openxmlformats.org/officeDocument/2006/relationships/worksheet" Target="/xl/worksheets/sheet2.xml" Id="R9c321e5f5f494d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2" hidden="0" customWidth="1"/>
    <x:col min="3" max="3" width="12" hidden="0" customWidth="1"/>
    <x:col min="4" max="4" width="20" hidden="0" customWidth="1"/>
    <x:col min="5" max="5" width="33" hidden="0" customWidth="1"/>
    <x:col min="6" max="6" width="17" hidden="0" customWidth="1"/>
    <x:col min="7" max="7" width="51" hidden="0" customWidth="1"/>
    <x:col min="8" max="8" width="19" hidden="0" customWidth="1"/>
    <x:col min="9" max="9" width="19" hidden="0" customWidth="1"/>
    <x:col min="10" max="10" width="19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2" customHeight="1">
      <x:c r="A1" s="4" t="str">
        <x:v>Componente</x:v>
      </x:c>
      <x:c r="B1" s="4" t="str">
        <x:v>Designadores</x:v>
      </x:c>
      <x:c r="C1" s="4" t="str">
        <x:v>Cant./tarjeta</x:v>
      </x:c>
      <x:c r="D1" s="4" t="str">
        <x:v>Fabricante</x:v>
      </x:c>
      <x:c r="E1" s="4" t="str">
        <x:v>MPN</x:v>
      </x:c>
      <x:c r="F1" s="4" t="str">
        <x:v>Proveedor</x:v>
      </x:c>
      <x:c r="G1" s="4" t="str">
        <x:v>URL proveedor</x:v>
      </x:c>
      <x:c r="H1" s="4" t="str">
        <x:v>Precio unit. 10 USD</x:v>
      </x:c>
      <x:c r="I1" s="4" t="str">
        <x:v>Precio unit. 100 USD</x:v>
      </x:c>
      <x:c r="J1" s="4" t="str">
        <x:v>Precio unit. 1000 USD</x:v>
      </x:c>
      <x:c r="K1" s="4" t="str">
        <x:v>Lote 10 USD</x:v>
      </x:c>
      <x:c r="L1" s="4" t="str">
        <x:v>Lote 100 USD</x:v>
      </x:c>
      <x:c r="M1" s="4" t="str">
        <x:v>Lote 1000 USD</x:v>
      </x:c>
    </x:row>
    <x:row r="2" ht="29" customHeight="1">
      <x:c r="A2" s="8" t="str">
        <x:v>50m</x:v>
      </x:c>
      <x:c r="B2" s="8" t="str">
        <x:v>R1</x:v>
      </x:c>
      <x:c r="C2" s="8" t="n">
        <x:v>1</x:v>
      </x:c>
      <x:c r="D2" s="8" t="str">
        <x:v>Vishay</x:v>
      </x:c>
      <x:c r="E2" s="8" t="str">
        <x:v>WSL2512R0500FEA</x:v>
      </x:c>
      <x:c r="F2" s="8" t="str">
        <x:v>DigiKey</x:v>
      </x:c>
      <x:c r="G2" s="8" t="str">
        <x:v>https://www.digikey.com/en/products/detail/vishay-dale/WSL2512R0500FEA/712568</x:v>
      </x:c>
      <x:c r="H2" s="10" t="n">
        <x:v>0.398</x:v>
      </x:c>
      <x:c r="I2" s="10" t="n">
        <x:v>0.2739</x:v>
      </x:c>
      <x:c r="J2" s="10" t="n">
        <x:v>0.21634</x:v>
      </x:c>
      <x:c r="K2" s="10" t="n">
        <x:f>C2*10*H2</x:f>
        <x:v>3.9800000000000004</x:v>
      </x:c>
      <x:c r="L2" s="10" t="n">
        <x:f>C2*100*I2</x:f>
        <x:v>27.389999999999997</x:v>
      </x:c>
      <x:c r="M2" s="10" t="n">
        <x:f>C2*1000*J2</x:f>
        <x:v>216.34</x:v>
      </x:c>
    </x:row>
    <x:row r="3" ht="29" customHeight="1">
      <x:c r="A3" s="8" t="str">
        <x:v>61300211121</x:v>
      </x:c>
      <x:c r="B3" s="8" t="str">
        <x:v>JP1, JP2, JP701</x:v>
      </x:c>
      <x:c r="C3" s="8" t="n">
        <x:v>3</x:v>
      </x:c>
      <x:c r="D3" s="8"/>
      <x:c r="E3" s="8" t="str">
        <x:v>61300211121</x:v>
      </x:c>
      <x:c r="F3" s="8" t="str">
        <x:v>DigiKey</x:v>
      </x:c>
      <x:c r="G3" s="8" t="str">
        <x:v>https://www.digikey.com/en/products/detail/w%C3%BCrth-elektronik/61300211121/4846823</x:v>
      </x:c>
      <x:c r="H3" s="10" t="n">
        <x:v>0.0892</x:v>
      </x:c>
      <x:c r="I3" s="10" t="n">
        <x:v>0.0696</x:v>
      </x:c>
      <x:c r="J3" s="10" t="n">
        <x:v>0.0696</x:v>
      </x:c>
      <x:c r="K3" s="10" t="n">
        <x:f>C3*10*H3</x:f>
        <x:v>2.676</x:v>
      </x:c>
      <x:c r="L3" s="10" t="n">
        <x:f>C3*100*I3</x:f>
        <x:v>20.88</x:v>
      </x:c>
      <x:c r="M3" s="10" t="n">
        <x:f>C3*1000*J3</x:f>
        <x:v>208.79999999999998</x:v>
      </x:c>
    </x:row>
    <x:row r="4" ht="29" customHeight="1">
      <x:c r="A4" s="8" t="str">
        <x:v>61300311121</x:v>
      </x:c>
      <x:c r="B4" s="8" t="str">
        <x:v>J2</x:v>
      </x:c>
      <x:c r="C4" s="8" t="n">
        <x:v>1</x:v>
      </x:c>
      <x:c r="D4" s="8"/>
      <x:c r="E4" s="8" t="str">
        <x:v>61300311121</x:v>
      </x:c>
      <x:c r="F4" s="8" t="str">
        <x:v>DigiKey</x:v>
      </x:c>
      <x:c r="G4" s="8" t="str">
        <x:v>https://www.digikey.com/en/products/detail/wurth-electronics-inc/61300311121/732-5316-ND/4846825</x:v>
      </x:c>
      <x:c r="H4" s="10" t="n">
        <x:v>0.107</x:v>
      </x:c>
      <x:c r="I4" s="10" t="n">
        <x:v>0.0848</x:v>
      </x:c>
      <x:c r="J4" s="10" t="n">
        <x:v>0.0848</x:v>
      </x:c>
      <x:c r="K4" s="10" t="n">
        <x:f>C4*10*H4</x:f>
        <x:v>1.07</x:v>
      </x:c>
      <x:c r="L4" s="10" t="n">
        <x:f>C4*100*I4</x:f>
        <x:v>8.48</x:v>
      </x:c>
      <x:c r="M4" s="10" t="n">
        <x:f>C4*1000*J4</x:f>
        <x:v>84.8</x:v>
      </x:c>
    </x:row>
    <x:row r="5" ht="29" customHeight="1">
      <x:c r="A5" s="8" t="str">
        <x:v>ESQ-126-39-G-D</x:v>
      </x:c>
      <x:c r="B5" s="8" t="str">
        <x:v>H1, H2</x:v>
      </x:c>
      <x:c r="C5" s="8" t="n">
        <x:v>2</x:v>
      </x:c>
      <x:c r="D5" s="8"/>
      <x:c r="E5" s="8" t="str">
        <x:v>ESQ-126-39-G-D</x:v>
      </x:c>
      <x:c r="F5" s="8" t="str">
        <x:v>DigiKey</x:v>
      </x:c>
      <x:c r="G5" s="8" t="str">
        <x:v>https://www.digikey.com/en/products/detail/samtec-inc/ESQ-126-39-G-D/3601055</x:v>
      </x:c>
      <x:c r="H5" s="10" t="n">
        <x:v>11.73</x:v>
      </x:c>
      <x:c r="I5" s="10" t="n">
        <x:v>9.506</x:v>
      </x:c>
      <x:c r="J5" s="10" t="n">
        <x:v>6.03625</x:v>
      </x:c>
      <x:c r="K5" s="10" t="n">
        <x:f>C5*10*H5</x:f>
        <x:v>234.60000000000002</x:v>
      </x:c>
      <x:c r="L5" s="10" t="n">
        <x:f>C5*100*I5</x:f>
        <x:v>1901.2</x:v>
      </x:c>
      <x:c r="M5" s="10" t="n">
        <x:f>C5*1000*J5</x:f>
        <x:v>12072.5</x:v>
      </x:c>
    </x:row>
    <x:row r="6" ht="29" customHeight="1">
      <x:c r="A6" s="8" t="str">
        <x:v>FH12-30S-0.5SH(55)</x:v>
      </x:c>
      <x:c r="B6" s="8" t="str">
        <x:v>J501</x:v>
      </x:c>
      <x:c r="C6" s="8" t="n">
        <x:v>1</x:v>
      </x:c>
      <x:c r="D6" s="8"/>
      <x:c r="E6" s="8" t="str">
        <x:v>FH12-30S-0.5SH(55)</x:v>
      </x:c>
      <x:c r="F6" s="8" t="str">
        <x:v>LCSC</x:v>
      </x:c>
      <x:c r="G6" s="8" t="str">
        <x:v>https://www.lcsc.com/product-image/C506793.html</x:v>
      </x:c>
      <x:c r="H6" s="10" t="n">
        <x:v>0.5782</x:v>
      </x:c>
      <x:c r="I6" s="10" t="n">
        <x:v>0.4583</x:v>
      </x:c>
      <x:c r="J6" s="10" t="n">
        <x:v>0.4008</x:v>
      </x:c>
      <x:c r="K6" s="10" t="n">
        <x:f>C6*10*H6</x:f>
        <x:v>5.782</x:v>
      </x:c>
      <x:c r="L6" s="10" t="n">
        <x:f>C6*100*I6</x:f>
        <x:v>45.83</x:v>
      </x:c>
      <x:c r="M6" s="10" t="n">
        <x:f>C6*1000*J6</x:f>
        <x:v>400.8</x:v>
      </x:c>
    </x:row>
    <x:row r="7" ht="29" customHeight="1">
      <x:c r="A7" s="8" t="str">
        <x:v>FTSH-105-01-L-DV-K</x:v>
      </x:c>
      <x:c r="B7" s="8" t="str">
        <x:v>J1</x:v>
      </x:c>
      <x:c r="C7" s="8" t="n">
        <x:v>1</x:v>
      </x:c>
      <x:c r="D7" s="8"/>
      <x:c r="E7" s="8" t="str">
        <x:v>FTSH-105-01-L-DV-K</x:v>
      </x:c>
      <x:c r="F7" s="8" t="str">
        <x:v>DigiKey</x:v>
      </x:c>
      <x:c r="G7" s="8" t="str">
        <x:v>https://www.digikey.com/en/products/detail/samtec-inc/FTSH-105-01-L-DV-K/1875039</x:v>
      </x:c>
      <x:c r="H7" s="10" t="n">
        <x:v>1.37</x:v>
      </x:c>
      <x:c r="I7" s="10" t="n">
        <x:v>1.075</x:v>
      </x:c>
      <x:c r="J7" s="10" t="n">
        <x:v>0.753</x:v>
      </x:c>
      <x:c r="K7" s="10" t="n">
        <x:f>C7*10*H7</x:f>
        <x:v>13.700000000000001</x:v>
      </x:c>
      <x:c r="L7" s="10" t="n">
        <x:f>C7*100*I7</x:f>
        <x:v>107.5</x:v>
      </x:c>
      <x:c r="M7" s="10" t="n">
        <x:f>C7*1000*J7</x:f>
        <x:v>753</x:v>
      </x:c>
    </x:row>
    <x:row r="8" ht="29" customHeight="1">
      <x:c r="A8" s="8" t="str">
        <x:v>INA226AIDGSR</x:v>
      </x:c>
      <x:c r="B8" s="8" t="str">
        <x:v>U2</x:v>
      </x:c>
      <x:c r="C8" s="8" t="n">
        <x:v>1</x:v>
      </x:c>
      <x:c r="D8" s="8"/>
      <x:c r="E8" s="8" t="str">
        <x:v>INA226AIDGSR</x:v>
      </x:c>
      <x:c r="F8" s="8" t="str">
        <x:v>DigiKey</x:v>
      </x:c>
      <x:c r="G8" s="8" t="str">
        <x:v>https://www.digikey.com/en/products/detail/texas-instruments/INA226AIDGSR/2687118</x:v>
      </x:c>
      <x:c r="H8" s="10" t="n">
        <x:v>2.097</x:v>
      </x:c>
      <x:c r="I8" s="10" t="n">
        <x:v>1.7186</x:v>
      </x:c>
      <x:c r="J8" s="10" t="n">
        <x:v>1.49634</x:v>
      </x:c>
      <x:c r="K8" s="10" t="n">
        <x:f>C8*10*H8</x:f>
        <x:v>20.97</x:v>
      </x:c>
      <x:c r="L8" s="10" t="n">
        <x:f>C8*100*I8</x:f>
        <x:v>171.85999999999999</x:v>
      </x:c>
      <x:c r="M8" s="10" t="n">
        <x:f>C8*1000*J8</x:f>
        <x:v>1496.34</x:v>
      </x:c>
    </x:row>
    <x:row r="9" ht="29" customHeight="1">
      <x:c r="A9" s="8" t="str">
        <x:v>IS42S32160F-6BLI</x:v>
      </x:c>
      <x:c r="B9" s="8" t="str">
        <x:v>U201</x:v>
      </x:c>
      <x:c r="C9" s="8" t="n">
        <x:v>1</x:v>
      </x:c>
      <x:c r="D9" s="8"/>
      <x:c r="E9" s="8" t="str">
        <x:v>IS42S32160F-6BLI</x:v>
      </x:c>
      <x:c r="F9" s="8" t="str">
        <x:v>LCSC</x:v>
      </x:c>
      <x:c r="G9" s="8" t="str">
        <x:v>https://www.lcsc.com/product-detail/C1348852.html</x:v>
      </x:c>
      <x:c r="H9" s="10" t="n">
        <x:v>14.9652</x:v>
      </x:c>
      <x:c r="I9" s="10" t="n">
        <x:v>12.8659</x:v>
      </x:c>
      <x:c r="J9" s="10" t="n">
        <x:v>12.8659</x:v>
      </x:c>
      <x:c r="K9" s="10" t="n">
        <x:f>C9*10*H9</x:f>
        <x:v>149.652</x:v>
      </x:c>
      <x:c r="L9" s="10" t="n">
        <x:f>C9*100*I9</x:f>
        <x:v>1286.59</x:v>
      </x:c>
      <x:c r="M9" s="10" t="n">
        <x:f>C9*1000*J9</x:f>
        <x:v>12865.9</x:v>
      </x:c>
    </x:row>
    <x:row r="10" ht="29" customHeight="1">
      <x:c r="A10" s="8" t="str">
        <x:v>MX52LM08A11XVI</x:v>
      </x:c>
      <x:c r="B10" s="8" t="str">
        <x:v>U302</x:v>
      </x:c>
      <x:c r="C10" s="8" t="n">
        <x:v>1</x:v>
      </x:c>
      <x:c r="D10" s="8"/>
      <x:c r="E10" s="8" t="str">
        <x:v>MX52LM08A11XVI</x:v>
      </x:c>
      <x:c r="F10" s="8" t="str">
        <x:v>DigiKey</x:v>
      </x:c>
      <x:c r="G10" s="8" t="str">
        <x:v>https://www.digikey.com/en/products/detail/macronix/MX52LM08A11XVI/25824295</x:v>
      </x:c>
      <x:c r="H10" s="10" t="n">
        <x:v>75.469</x:v>
      </x:c>
      <x:c r="I10" s="10" t="n">
        <x:v>71.167</x:v>
      </x:c>
      <x:c r="J10" s="10" t="n">
        <x:v>71.167</x:v>
      </x:c>
      <x:c r="K10" s="10" t="n">
        <x:f>C10*10*H10</x:f>
        <x:v>754.6899999999999</x:v>
      </x:c>
      <x:c r="L10" s="10" t="n">
        <x:f>C10*100*I10</x:f>
        <x:v>7116.7</x:v>
      </x:c>
      <x:c r="M10" s="10" t="n">
        <x:f>C10*1000*J10</x:f>
        <x:v>71167</x:v>
      </x:c>
    </x:row>
    <x:row r="11" ht="29" customHeight="1">
      <x:c r="A11" s="8" t="str">
        <x:v>PCA9306DCUR</x:v>
      </x:c>
      <x:c r="B11" s="8" t="str">
        <x:v>U501</x:v>
      </x:c>
      <x:c r="C11" s="8" t="n">
        <x:v>1</x:v>
      </x:c>
      <x:c r="D11" s="8"/>
      <x:c r="E11" s="8" t="str">
        <x:v>PCA9306DCUR</x:v>
      </x:c>
      <x:c r="F11" s="8" t="str">
        <x:v>DigiKey</x:v>
      </x:c>
      <x:c r="G11" s="8" t="str">
        <x:v>https://www.digikey.com/en/products/detail/texas-instruments/PCA9306DCUR/768360</x:v>
      </x:c>
      <x:c r="H11" s="10" t="n">
        <x:v>0.654</x:v>
      </x:c>
      <x:c r="I11" s="10" t="n">
        <x:v>0.5178</x:v>
      </x:c>
      <x:c r="J11" s="10" t="n">
        <x:v>0.46059</x:v>
      </x:c>
      <x:c r="K11" s="10" t="n">
        <x:f>C11*10*H11</x:f>
        <x:v>6.54</x:v>
      </x:c>
      <x:c r="L11" s="10" t="n">
        <x:f>C11*100*I11</x:f>
        <x:v>51.78</x:v>
      </x:c>
      <x:c r="M11" s="10" t="n">
        <x:f>C11*1000*J11</x:f>
        <x:v>460.59</x:v>
      </x:c>
    </x:row>
    <x:row r="12" ht="29" customHeight="1">
      <x:c r="A12" s="8" t="str">
        <x:v>SN74AVC4T774PWR</x:v>
      </x:c>
      <x:c r="B12" s="8" t="str">
        <x:v>U502</x:v>
      </x:c>
      <x:c r="C12" s="8" t="n">
        <x:v>1</x:v>
      </x:c>
      <x:c r="D12" s="8"/>
      <x:c r="E12" s="8" t="str">
        <x:v>SN74AVC4T774PWR</x:v>
      </x:c>
      <x:c r="F12" s="8" t="str">
        <x:v>DigiKey</x:v>
      </x:c>
      <x:c r="G12" s="8" t="str">
        <x:v>https://www.digikey.com/en/products/detail/texas-instruments/SN74AVC4T774PWR/1902131</x:v>
      </x:c>
      <x:c r="H12" s="10" t="n">
        <x:v>1.113</x:v>
      </x:c>
      <x:c r="I12" s="10" t="n">
        <x:v>0.8975</x:v>
      </x:c>
      <x:c r="J12" s="10" t="n">
        <x:v>0.82772</x:v>
      </x:c>
      <x:c r="K12" s="10" t="n">
        <x:f>C12*10*H12</x:f>
        <x:v>11.129999999999999</x:v>
      </x:c>
      <x:c r="L12" s="10" t="n">
        <x:f>C12*100*I12</x:f>
        <x:v>89.75</x:v>
      </x:c>
      <x:c r="M12" s="10" t="n">
        <x:f>C12*1000*J12</x:f>
        <x:v>827.72</x:v>
      </x:c>
    </x:row>
    <x:row r="13" ht="29" customHeight="1">
      <x:c r="A13" s="8" t="str">
        <x:v>STM32N657X0H3Q</x:v>
      </x:c>
      <x:c r="B13" s="8" t="str">
        <x:v>U8</x:v>
      </x:c>
      <x:c r="C13" s="8" t="n">
        <x:v>1</x:v>
      </x:c>
      <x:c r="D13" s="8"/>
      <x:c r="E13" s="8" t="str">
        <x:v>STM32N657X0H3Q</x:v>
      </x:c>
      <x:c r="F13" s="8" t="str">
        <x:v>Mouser</x:v>
      </x:c>
      <x:c r="G13" s="8" t="str">
        <x:v>https://www.mouser.com/en/ProductDetail/STMicroelectronics/STM32N657X0H3Q</x:v>
      </x:c>
      <x:c r="H13" s="10" t="n">
        <x:v>18.19</x:v>
      </x:c>
      <x:c r="I13" s="10" t="n">
        <x:v>17.43</x:v>
      </x:c>
      <x:c r="J13" s="10" t="n">
        <x:v>16.42</x:v>
      </x:c>
      <x:c r="K13" s="10" t="n">
        <x:f>C13*10*H13</x:f>
        <x:v>181.9</x:v>
      </x:c>
      <x:c r="L13" s="10" t="n">
        <x:f>C13*100*I13</x:f>
        <x:v>1743</x:v>
      </x:c>
      <x:c r="M13" s="10" t="n">
        <x:f>C13*1000*J13</x:f>
        <x:v>16420</x:v>
      </x:c>
    </x:row>
    <x:row r="14" ht="29" customHeight="1">
      <x:c r="A14" s="8" t="str">
        <x:v>TCA4307DGKR</x:v>
      </x:c>
      <x:c r="B14" s="8" t="str">
        <x:v>U603_I2C_ADCS, U603_I2C_SYS</x:v>
      </x:c>
      <x:c r="C14" s="8" t="n">
        <x:v>2</x:v>
      </x:c>
      <x:c r="D14" s="8"/>
      <x:c r="E14" s="8" t="str">
        <x:v>TCA4307DGKR</x:v>
      </x:c>
      <x:c r="F14" s="8" t="str">
        <x:v>DigiKey</x:v>
      </x:c>
      <x:c r="G14" s="8" t="str">
        <x:v>https://www.digikey.com/en/products/detail/texas-instruments/TCA4307DGKR/13169411</x:v>
      </x:c>
      <x:c r="H14" s="10" t="n">
        <x:v>2.442</x:v>
      </x:c>
      <x:c r="I14" s="10" t="n">
        <x:v>2.0137</x:v>
      </x:c>
      <x:c r="J14" s="10" t="n">
        <x:v>1.87884</x:v>
      </x:c>
      <x:c r="K14" s="10" t="n">
        <x:f>C14*10*H14</x:f>
        <x:v>48.84</x:v>
      </x:c>
      <x:c r="L14" s="10" t="n">
        <x:f>C14*100*I14</x:f>
        <x:v>402.74</x:v>
      </x:c>
      <x:c r="M14" s="10" t="n">
        <x:f>C14*1000*J14</x:f>
        <x:v>3757.6800000000003</x:v>
      </x:c>
    </x:row>
    <x:row r="15" ht="29" customHeight="1">
      <x:c r="A15" s="8" t="str">
        <x:v>TCAN334GDR</x:v>
      </x:c>
      <x:c r="B15" s="8" t="str">
        <x:v>U601_CAN_A, U601_CAN_B</x:v>
      </x:c>
      <x:c r="C15" s="8" t="n">
        <x:v>2</x:v>
      </x:c>
      <x:c r="D15" s="8"/>
      <x:c r="E15" s="8" t="str">
        <x:v>TCAN334GDR</x:v>
      </x:c>
      <x:c r="F15" s="8" t="str">
        <x:v>DigiKey</x:v>
      </x:c>
      <x:c r="G15" s="8" t="str">
        <x:v>https://www.digikey.com/es/products/detail/texas-instruments/TCAN334GDR/9462796</x:v>
      </x:c>
      <x:c r="H15" s="10" t="n">
        <x:v>2.372</x:v>
      </x:c>
      <x:c r="I15" s="10" t="n">
        <x:v>1.9543</x:v>
      </x:c>
      <x:c r="J15" s="10" t="n">
        <x:v>1.82074</x:v>
      </x:c>
      <x:c r="K15" s="10" t="n">
        <x:f>C15*10*H15</x:f>
        <x:v>47.44</x:v>
      </x:c>
      <x:c r="L15" s="10" t="n">
        <x:f>C15*100*I15</x:f>
        <x:v>390.86</x:v>
      </x:c>
      <x:c r="M15" s="10" t="n">
        <x:f>C15*1000*J15</x:f>
        <x:v>3641.48</x:v>
      </x:c>
    </x:row>
    <x:row r="16" ht="29" customHeight="1">
      <x:c r="A16" s="8" t="str">
        <x:v>TLV75518PDBVR</x:v>
      </x:c>
      <x:c r="B16" s="8" t="str">
        <x:v>U4, U5</x:v>
      </x:c>
      <x:c r="C16" s="8" t="n">
        <x:v>2</x:v>
      </x:c>
      <x:c r="D16" s="8"/>
      <x:c r="E16" s="8" t="str">
        <x:v>TLV75518PDBVR</x:v>
      </x:c>
      <x:c r="F16" s="8" t="str">
        <x:v>DigiKey</x:v>
      </x:c>
      <x:c r="G16" s="8" t="str">
        <x:v>https://www.digikey.com/en/products/detail/texas-instruments/TLV75518PDBVR/9685549</x:v>
      </x:c>
      <x:c r="H16" s="10" t="n">
        <x:v>0.293</x:v>
      </x:c>
      <x:c r="I16" s="10" t="n">
        <x:v>0.226</x:v>
      </x:c>
      <x:c r="J16" s="10" t="n">
        <x:v>0.1908</x:v>
      </x:c>
      <x:c r="K16" s="10" t="n">
        <x:f>C16*10*H16</x:f>
        <x:v>5.859999999999999</x:v>
      </x:c>
      <x:c r="L16" s="10" t="n">
        <x:f>C16*100*I16</x:f>
        <x:v>45.2</x:v>
      </x:c>
      <x:c r="M16" s="10" t="n">
        <x:f>C16*1000*J16</x:f>
        <x:v>381.6</x:v>
      </x:c>
    </x:row>
    <x:row r="17" ht="29" customHeight="1">
      <x:c r="A17" s="8" t="str">
        <x:v>TMP117AIDRVR</x:v>
      </x:c>
      <x:c r="B17" s="8" t="str">
        <x:v>U702</x:v>
      </x:c>
      <x:c r="C17" s="8" t="n">
        <x:v>1</x:v>
      </x:c>
      <x:c r="D17" s="8" t="str">
        <x:v>Texas Instruments</x:v>
      </x:c>
      <x:c r="E17" s="8" t="str">
        <x:v>TMP117AIDRVR</x:v>
      </x:c>
      <x:c r="F17" s="8" t="str">
        <x:v>DigiKey</x:v>
      </x:c>
      <x:c r="G17" s="8" t="str">
        <x:v>https://www.digikey.com/en/products/detail/texas-instruments/TMP117AIDRVR/9685284</x:v>
      </x:c>
      <x:c r="H17" s="10" t="n">
        <x:v>4.783</x:v>
      </x:c>
      <x:c r="I17" s="10" t="n">
        <x:v>4.2052</x:v>
      </x:c>
      <x:c r="J17" s="10" t="n">
        <x:v>3.79134</x:v>
      </x:c>
      <x:c r="K17" s="10" t="n">
        <x:f>C17*10*H17</x:f>
        <x:v>47.830000000000005</x:v>
      </x:c>
      <x:c r="L17" s="10" t="n">
        <x:f>C17*100*I17</x:f>
        <x:v>420.52</x:v>
      </x:c>
      <x:c r="M17" s="10" t="n">
        <x:f>C17*1000*J17</x:f>
        <x:v>3791.34</x:v>
      </x:c>
    </x:row>
    <x:row r="18" ht="29" customHeight="1">
      <x:c r="A18" s="8" t="str">
        <x:v>TPS3851G18EDRBR</x:v>
      </x:c>
      <x:c r="B18" s="8" t="str">
        <x:v>U701</x:v>
      </x:c>
      <x:c r="C18" s="8" t="n">
        <x:v>1</x:v>
      </x:c>
      <x:c r="D18" s="8"/>
      <x:c r="E18" s="8" t="str">
        <x:v>TPS3851G18EDRBR</x:v>
      </x:c>
      <x:c r="F18" s="8" t="str">
        <x:v>DigiKey</x:v>
      </x:c>
      <x:c r="G18" s="8" t="str">
        <x:v>https://www.digikey.com/en/products/detail/texas-instruments/TPS3851G18EDRBR/6570205</x:v>
      </x:c>
      <x:c r="H18" s="10" t="n">
        <x:v>1.043</x:v>
      </x:c>
      <x:c r="I18" s="10" t="n">
        <x:v>0.8385</x:v>
      </x:c>
      <x:c r="J18" s="10" t="n">
        <x:v>0.74664</x:v>
      </x:c>
      <x:c r="K18" s="10" t="n">
        <x:f>C18*10*H18</x:f>
        <x:v>10.43</x:v>
      </x:c>
      <x:c r="L18" s="10" t="n">
        <x:f>C18*100*I18</x:f>
        <x:v>83.85000000000001</x:v>
      </x:c>
      <x:c r="M18" s="10" t="n">
        <x:f>C18*1000*J18</x:f>
        <x:v>746.64</x:v>
      </x:c>
    </x:row>
    <x:row r="19" ht="29" customHeight="1">
      <x:c r="A19" s="8" t="str">
        <x:v>TPS22918DBVR</x:v>
      </x:c>
      <x:c r="B19" s="8" t="str">
        <x:v>U6, U7</x:v>
      </x:c>
      <x:c r="C19" s="8" t="n">
        <x:v>2</x:v>
      </x:c>
      <x:c r="D19" s="8"/>
      <x:c r="E19" s="8" t="str">
        <x:v>TPS22918DBVR</x:v>
      </x:c>
      <x:c r="F19" s="8" t="str">
        <x:v>DigiKey</x:v>
      </x:c>
      <x:c r="G19" s="8" t="str">
        <x:v>https://www.digikey.com/en/products/detail/texas-instruments/TPS22918DBVR/5994601</x:v>
      </x:c>
      <x:c r="H19" s="10" t="n">
        <x:v>0.39</x:v>
      </x:c>
      <x:c r="I19" s="10" t="n">
        <x:v>0.3038</x:v>
      </x:c>
      <x:c r="J19" s="10" t="n">
        <x:v>0.25847</x:v>
      </x:c>
      <x:c r="K19" s="10" t="n">
        <x:f>C19*10*H19</x:f>
        <x:v>7.800000000000001</x:v>
      </x:c>
      <x:c r="L19" s="10" t="n">
        <x:f>C19*100*I19</x:f>
        <x:v>60.760000000000005</x:v>
      </x:c>
      <x:c r="M19" s="10" t="n">
        <x:f>C19*1000*J19</x:f>
        <x:v>516.9399999999999</x:v>
      </x:c>
    </x:row>
    <x:row r="20" ht="29" customHeight="1">
      <x:c r="A20" s="8" t="str">
        <x:v>TPS62130ARGTR</x:v>
      </x:c>
      <x:c r="B20" s="8" t="str">
        <x:v>U3</x:v>
      </x:c>
      <x:c r="C20" s="8" t="n">
        <x:v>1</x:v>
      </x:c>
      <x:c r="D20" s="8" t="str">
        <x:v>Texas Instruments</x:v>
      </x:c>
      <x:c r="E20" s="8" t="str">
        <x:v>TPS62130ARGTR</x:v>
      </x:c>
      <x:c r="F20" s="8" t="str">
        <x:v>DigiKey</x:v>
      </x:c>
      <x:c r="G20" s="8" t="str">
        <x:v>https://www.digikey.com/en/products/detail/texas-instruments/TPS62130ARGTR/4307640</x:v>
      </x:c>
      <x:c r="H20" s="10" t="n">
        <x:v>1.698</x:v>
      </x:c>
      <x:c r="I20" s="10" t="n">
        <x:v>1.3828</x:v>
      </x:c>
      <x:c r="J20" s="10" t="n">
        <x:v>1.19034</x:v>
      </x:c>
      <x:c r="K20" s="10" t="n">
        <x:f>C20*10*H20</x:f>
        <x:v>16.98</x:v>
      </x:c>
      <x:c r="L20" s="10" t="n">
        <x:f>C20*100*I20</x:f>
        <x:v>138.28</x:v>
      </x:c>
      <x:c r="M20" s="10" t="n">
        <x:f>C20*1000*J20</x:f>
        <x:v>1190.34</x:v>
      </x:c>
    </x:row>
    <x:row r="21" ht="29" customHeight="1">
      <x:c r="A21" s="8" t="str">
        <x:v>TPS259470ARPWR</x:v>
      </x:c>
      <x:c r="B21" s="8" t="str">
        <x:v>U1</x:v>
      </x:c>
      <x:c r="C21" s="8" t="n">
        <x:v>1</x:v>
      </x:c>
      <x:c r="D21" s="8"/>
      <x:c r="E21" s="8" t="str">
        <x:v>TPS259470ARPWR</x:v>
      </x:c>
      <x:c r="F21" s="8" t="str">
        <x:v>DigiKey</x:v>
      </x:c>
      <x:c r="G21" s="8" t="str">
        <x:v>https://www.digikey.com/en/products/detail/texas-instruments/TPS259470ARPWR/14123984</x:v>
      </x:c>
      <x:c r="H21" s="10" t="n">
        <x:v>1.337</x:v>
      </x:c>
      <x:c r="I21" s="10" t="n">
        <x:v>1.0808</x:v>
      </x:c>
      <x:c r="J21" s="10" t="n">
        <x:v>0.97308</x:v>
      </x:c>
      <x:c r="K21" s="10" t="n">
        <x:f>C21*10*H21</x:f>
        <x:v>13.37</x:v>
      </x:c>
      <x:c r="L21" s="10" t="n">
        <x:f>C21*100*I21</x:f>
        <x:v>108.08</x:v>
      </x:c>
      <x:c r="M21" s="10" t="n">
        <x:f>C21*1000*J21</x:f>
        <x:v>973.0799999999999</x:v>
      </x:c>
    </x:row>
    <x:row r="22" ht="29" customHeight="1">
      <x:c r="A22" s="14" t="str">
        <x:v>Total de referencias con precio</x:v>
      </x:c>
      <x:c r="B22" s="14"/>
      <x:c r="C22" s="14"/>
      <x:c r="D22" s="14"/>
      <x:c r="E22" s="14"/>
      <x:c r="F22" s="14"/>
      <x:c r="G22" s="14"/>
      <x:c r="H22" s="15"/>
      <x:c r="I22" s="15"/>
      <x:c r="J22" s="15"/>
      <x:c r="K22" s="15" t="n">
        <x:f>SUM(K2:K21)</x:f>
        <x:v>1585.2399999999998</x:v>
      </x:c>
      <x:c r="L22" s="15" t="n">
        <x:f>SUM(L2:L21)</x:f>
        <x:v>14221.250000000004</x:v>
      </x:c>
      <x:c r="M22" s="15" t="n">
        <x:f>SUM(M2:M21)</x:f>
        <x:v>131972.88999999998</x:v>
      </x:c>
    </x:row>
    <x:row r="23" ht="29" customHeight="1">
      <x:c r="A23" s="14" t="str">
        <x:v>Costo por tarjeta (muestra)</x:v>
      </x:c>
      <x:c r="B23" s="14"/>
      <x:c r="C23" s="14"/>
      <x:c r="D23" s="14"/>
      <x:c r="E23" s="14"/>
      <x:c r="F23" s="14"/>
      <x:c r="G23" s="14"/>
      <x:c r="H23" s="15"/>
      <x:c r="I23" s="15"/>
      <x:c r="J23" s="15"/>
      <x:c r="K23" s="15" t="n">
        <x:f>K22/10</x:f>
        <x:v>158.52399999999997</x:v>
      </x:c>
      <x:c r="L23" s="15" t="n">
        <x:f>L22/100</x:f>
        <x:v>142.21250000000003</x:v>
      </x:c>
      <x:c r="M23" s="15" t="n">
        <x:f>M22/1000</x:f>
        <x:v>131.97288999999998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  <x:col min="3" max="3" width="25" hidden="0" customWidth="1"/>
    <x:col min="4" max="4" width="30" hidden="0" customWidth="1"/>
  </x:cols>
  <x:sheetData>
    <x:row r="1" ht="28" customHeight="1">
      <x:c r="A1" s="4" t="str">
        <x:v>Lote de OBC</x:v>
      </x:c>
      <x:c r="B1" s="4" t="str">
        <x:v>Cantidad tarjetas</x:v>
      </x:c>
      <x:c r="C1" s="4" t="str">
        <x:v>Subtotal USD</x:v>
      </x:c>
      <x:c r="D1" s="4" t="str">
        <x:v>Subtotal por tarjeta USD</x:v>
      </x:c>
    </x:row>
    <x:row r="2" ht="30" customHeight="1">
      <x:c r="A2" t="str">
        <x:v>Lote de 10</x:v>
      </x:c>
      <x:c r="B2" t="n">
        <x:v>10</x:v>
      </x:c>
      <x:c r="C2" s="20" t="n">
        <x:f>Cotizaciones_20!K22</x:f>
        <x:v>1585.2399999999998</x:v>
      </x:c>
      <x:c r="D2" s="20" t="n">
        <x:f>C2/B2</x:f>
        <x:v>158.52399999999997</x:v>
      </x:c>
    </x:row>
    <x:row r="3" ht="30" customHeight="1">
      <x:c r="A3" t="str">
        <x:v>Lote de 100</x:v>
      </x:c>
      <x:c r="B3" t="n">
        <x:v>100</x:v>
      </x:c>
      <x:c r="C3" s="20" t="n">
        <x:f>Cotizaciones_20!L22</x:f>
        <x:v>14221.250000000004</x:v>
      </x:c>
      <x:c r="D3" s="20" t="n">
        <x:f>C3/B3</x:f>
        <x:v>142.21250000000003</x:v>
      </x:c>
    </x:row>
    <x:row r="4" ht="30" customHeight="1">
      <x:c r="A4" t="str">
        <x:v>Lote de 1000</x:v>
      </x:c>
      <x:c r="B4" t="n">
        <x:v>1000</x:v>
      </x:c>
      <x:c r="C4" s="20" t="n">
        <x:f>Cotizaciones_20!M22</x:f>
        <x:v>131972.88999999998</x:v>
      </x:c>
      <x:c r="D4" s="20" t="n">
        <x:f>C4/B4</x:f>
        <x:v>131.97288999999998</x:v>
      </x:c>
    </x:row>
    <x:row r="6">
      <x:c r="A6" t="str">
        <x:v>Cobertura del análisis</x:v>
      </x:c>
      <x:c r="B6" t="str">
        <x:v>20 referencias con precio público de 67 grupos exportados de Altium</x:v>
      </x:c>
    </x:row>
    <x:row r="7">
      <x:c r="A7" t="str">
        <x:v>Alcance económico</x:v>
      </x:c>
      <x:c r="B7" t="str">
        <x:v>Subtotal de componentes cotizados, sin fabricación de PCB, ensamblaje, envíos ni impuestos.</x:v>
      </x:c>
    </x:row>
  </x:sheetData>
  <x:pageMargins left="0.7" right="0.7" top="0.75" bottom="0.75" header="0.3" footer="0.3"/>
</x:worksheet>
</file>